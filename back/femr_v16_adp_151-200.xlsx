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ADP038" sheetId="1" state="visible" r:id="rId1"/>
    <sheet name="2ADP039" sheetId="2" state="visible" r:id="rId2"/>
    <sheet name="2ADP040" sheetId="3" state="visible" r:id="rId3"/>
    <sheet name="2ADP041" sheetId="4" state="visible" r:id="rId4"/>
    <sheet name="2ADP042" sheetId="5" state="visible" r:id="rId5"/>
    <sheet name="2ADP043" sheetId="6" state="visible" r:id="rId6"/>
    <sheet name="2ADP044" sheetId="7" state="visible" r:id="rId7"/>
    <sheet name="2ADP045" sheetId="8" state="visible" r:id="rId8"/>
    <sheet name="2ADP046" sheetId="9" state="visible" r:id="rId9"/>
    <sheet name="2ADP047" sheetId="10" state="visible" r:id="rId10"/>
    <sheet name="2ADP048" sheetId="11" state="visible" r:id="rId11"/>
    <sheet name="2ADP049" sheetId="12" state="visible" r:id="rId12"/>
    <sheet name="2ADP050" sheetId="13" state="visible" r:id="rId13"/>
    <sheet name="2ADP051" sheetId="14" state="visible" r:id="rId14"/>
    <sheet name="2ADP052" sheetId="15" state="visible" r:id="rId15"/>
    <sheet name="2ADP053" sheetId="16" state="visible" r:id="rId16"/>
    <sheet name="2ADP054" sheetId="17" state="visible" r:id="rId17"/>
    <sheet name="2ADP055" sheetId="18" state="visible" r:id="rId18"/>
    <sheet name="2ADP056" sheetId="19" state="visible" r:id="rId19"/>
    <sheet name="2ADP057" sheetId="20" state="visible" r:id="rId20"/>
    <sheet name="2ADP058" sheetId="21" state="visible" r:id="rId21"/>
    <sheet name="2ADP059" sheetId="22" state="visible" r:id="rId22"/>
    <sheet name="2ADP060" sheetId="23" state="visible" r:id="rId23"/>
    <sheet name="2ADP061" sheetId="24" state="visible" r:id="rId24"/>
    <sheet name="2ADP062" sheetId="25" state="visible" r:id="rId25"/>
    <sheet name="2ADP063" sheetId="26" state="visible" r:id="rId26"/>
    <sheet name="2ADP064" sheetId="27" state="visible" r:id="rId27"/>
    <sheet name="2ADP065" sheetId="28" state="visible" r:id="rId28"/>
    <sheet name="2ADP066" sheetId="29" state="visible" r:id="rId29"/>
    <sheet name="2ADP067" sheetId="30" state="visible" r:id="rId30"/>
    <sheet name="2ADP068" sheetId="31" state="visible" r:id="rId31"/>
    <sheet name="2ADP069" sheetId="32" state="visible" r:id="rId32"/>
    <sheet name="2ADP070" sheetId="33" state="visible" r:id="rId33"/>
    <sheet name="2ADP071" sheetId="34" state="visible" r:id="rId34"/>
    <sheet name="2ADP072" sheetId="35" state="visible" r:id="rId35"/>
    <sheet name="2ADP073" sheetId="36" state="visible" r:id="rId36"/>
    <sheet name="2ADP074" sheetId="37" state="visible" r:id="rId37"/>
    <sheet name="2ADP075" sheetId="38" state="visible" r:id="rId38"/>
    <sheet name="2ADP076" sheetId="39" state="visible" r:id="rId39"/>
    <sheet name="2ADP077" sheetId="40" state="visible" r:id="rId40"/>
    <sheet name="2ADP078" sheetId="41" state="visible" r:id="rId41"/>
    <sheet name="2ADP079" sheetId="42" state="visible" r:id="rId42"/>
    <sheet name="2ADP080" sheetId="43" state="visible" r:id="rId43"/>
    <sheet name="2ADP081" sheetId="44" state="visible" r:id="rId44"/>
    <sheet name="2ADP082" sheetId="45" state="visible" r:id="rId45"/>
    <sheet name="2ADP083" sheetId="46" state="visible" r:id="rId46"/>
    <sheet name="2ADP084" sheetId="47" state="visible" r:id="rId47"/>
    <sheet name="2ADP085" sheetId="48" state="visible" r:id="rId48"/>
    <sheet name="2ADP086" sheetId="49" state="visible" r:id="rId49"/>
    <sheet name="2ADP087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1FFB0"/>
      </patternFill>
    </fill>
    <fill>
      <patternFill patternType="solid">
        <fgColor rgb="00A3D1FF"/>
      </patternFill>
    </fill>
    <fill>
      <patternFill patternType="solid">
        <fgColor rgb="00F5F4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164" fontId="0" fillId="0" borderId="0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1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1" fillId="4" borderId="0" pivotButton="0" quotePrefix="0" xfId="0"/>
    <xf numFmtId="164" fontId="0" fillId="4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charts/chart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'2ADP038'!$B$51:$AC$51</f>
            </numRef>
          </cat>
          <val>
            <numRef>
              <f>'2ADP038'!$B$52:$AC$52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'2ADP038'!$B$51:$AC$51</f>
            </numRef>
          </cat>
          <val>
            <numRef>
              <f>'2ADP038'!$B$53:$AC$53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'2ADP038'!$B$51:$AC$51</f>
            </numRef>
          </cat>
          <val>
            <numRef>
              <f>'2ADP038'!$B$54:$AC$54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'2ADP038'!$B$51:$AC$51</f>
            </numRef>
          </cat>
          <val>
            <numRef>
              <f>'2ADP038'!$B$55:$AC$55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'2ADP038'!$B$51:$AC$51</f>
            </numRef>
          </cat>
          <val>
            <numRef>
              <f>'2ADP038'!$B$56:$AC$56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'2ADP039'!$B$51:$AC$51</f>
            </numRef>
          </cat>
          <val>
            <numRef>
              <f>'2ADP039'!$B$52:$AC$52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'2ADP039'!$B$51:$AC$51</f>
            </numRef>
          </cat>
          <val>
            <numRef>
              <f>'2ADP039'!$B$53:$AC$53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'2ADP039'!$B$51:$AC$51</f>
            </numRef>
          </cat>
          <val>
            <numRef>
              <f>'2ADP039'!$B$54:$AC$54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'2ADP039'!$B$51:$AC$51</f>
            </numRef>
          </cat>
          <val>
            <numRef>
              <f>'2ADP039'!$B$55:$AC$55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'2ADP039'!$B$51:$AC$51</f>
            </numRef>
          </cat>
          <val>
            <numRef>
              <f>'2ADP039'!$B$56:$AC$56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'2ADP040'!$B$51:$AC$51</f>
            </numRef>
          </cat>
          <val>
            <numRef>
              <f>'2ADP040'!$B$52:$AC$52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'2ADP040'!$B$51:$AC$51</f>
            </numRef>
          </cat>
          <val>
            <numRef>
              <f>'2ADP040'!$B$53:$AC$53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'2ADP040'!$B$51:$AC$51</f>
            </numRef>
          </cat>
          <val>
            <numRef>
              <f>'2ADP040'!$B$54:$AC$54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'2ADP040'!$B$51:$AC$51</f>
            </numRef>
          </cat>
          <val>
            <numRef>
              <f>'2ADP040'!$B$55:$AC$55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'2ADP040'!$B$51:$AC$51</f>
            </numRef>
          </cat>
          <val>
            <numRef>
              <f>'2ADP040'!$B$56:$AC$56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'2ADP041'!$B$51:$AC$51</f>
            </numRef>
          </cat>
          <val>
            <numRef>
              <f>'2ADP041'!$B$52:$AC$52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'2ADP041'!$B$51:$AC$51</f>
            </numRef>
          </cat>
          <val>
            <numRef>
              <f>'2ADP041'!$B$53:$AC$53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'2ADP041'!$B$51:$AC$51</f>
            </numRef>
          </cat>
          <val>
            <numRef>
              <f>'2ADP041'!$B$54:$AC$54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'2ADP041'!$B$51:$AC$51</f>
            </numRef>
          </cat>
          <val>
            <numRef>
              <f>'2ADP041'!$B$55:$AC$55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'2ADP041'!$B$51:$AC$51</f>
            </numRef>
          </cat>
          <val>
            <numRef>
              <f>'2ADP041'!$B$56:$AC$56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'2ADP042'!$B$51:$AC$51</f>
            </numRef>
          </cat>
          <val>
            <numRef>
              <f>'2ADP042'!$B$52:$AC$52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'2ADP042'!$B$51:$AC$51</f>
            </numRef>
          </cat>
          <val>
            <numRef>
              <f>'2ADP042'!$B$53:$AC$53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'2ADP042'!$B$51:$AC$51</f>
            </numRef>
          </cat>
          <val>
            <numRef>
              <f>'2ADP042'!$B$54:$AC$54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'2ADP042'!$B$51:$AC$51</f>
            </numRef>
          </cat>
          <val>
            <numRef>
              <f>'2ADP042'!$B$55:$AC$55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'2ADP042'!$B$51:$AC$51</f>
            </numRef>
          </cat>
          <val>
            <numRef>
              <f>'2ADP042'!$B$56:$AC$56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'2ADP043'!$B$51:$AC$51</f>
            </numRef>
          </cat>
          <val>
            <numRef>
              <f>'2ADP043'!$B$52:$AC$52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'2ADP043'!$B$51:$AC$51</f>
            </numRef>
          </cat>
          <val>
            <numRef>
              <f>'2ADP043'!$B$53:$AC$53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'2ADP043'!$B$51:$AC$51</f>
            </numRef>
          </cat>
          <val>
            <numRef>
              <f>'2ADP043'!$B$54:$AC$54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'2ADP043'!$B$51:$AC$51</f>
            </numRef>
          </cat>
          <val>
            <numRef>
              <f>'2ADP043'!$B$55:$AC$55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'2ADP043'!$B$51:$AC$51</f>
            </numRef>
          </cat>
          <val>
            <numRef>
              <f>'2ADP043'!$B$56:$AC$56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'2ADP044'!$B$51:$AC$51</f>
            </numRef>
          </cat>
          <val>
            <numRef>
              <f>'2ADP044'!$B$52:$AC$52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'2ADP044'!$B$51:$AC$51</f>
            </numRef>
          </cat>
          <val>
            <numRef>
              <f>'2ADP044'!$B$53:$AC$53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'2ADP044'!$B$51:$AC$51</f>
            </numRef>
          </cat>
          <val>
            <numRef>
              <f>'2ADP044'!$B$54:$AC$54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'2ADP044'!$B$51:$AC$51</f>
            </numRef>
          </cat>
          <val>
            <numRef>
              <f>'2ADP044'!$B$55:$AC$55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'2ADP044'!$B$51:$AC$51</f>
            </numRef>
          </cat>
          <val>
            <numRef>
              <f>'2ADP044'!$B$56:$AC$56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'2ADP045'!$B$51:$AC$51</f>
            </numRef>
          </cat>
          <val>
            <numRef>
              <f>'2ADP045'!$B$52:$AC$52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'2ADP045'!$B$51:$AC$51</f>
            </numRef>
          </cat>
          <val>
            <numRef>
              <f>'2ADP045'!$B$53:$AC$53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'2ADP045'!$B$51:$AC$51</f>
            </numRef>
          </cat>
          <val>
            <numRef>
              <f>'2ADP045'!$B$54:$AC$54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'2ADP045'!$B$51:$AC$51</f>
            </numRef>
          </cat>
          <val>
            <numRef>
              <f>'2ADP045'!$B$55:$AC$55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'2ADP045'!$B$51:$AC$51</f>
            </numRef>
          </cat>
          <val>
            <numRef>
              <f>'2ADP045'!$B$56:$AC$56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'2ADP046'!$B$51:$AC$51</f>
            </numRef>
          </cat>
          <val>
            <numRef>
              <f>'2ADP046'!$B$52:$AC$52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'2ADP046'!$B$51:$AC$51</f>
            </numRef>
          </cat>
          <val>
            <numRef>
              <f>'2ADP046'!$B$53:$AC$53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'2ADP046'!$B$51:$AC$51</f>
            </numRef>
          </cat>
          <val>
            <numRef>
              <f>'2ADP046'!$B$54:$AC$54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'2ADP046'!$B$51:$AC$51</f>
            </numRef>
          </cat>
          <val>
            <numRef>
              <f>'2ADP046'!$B$55:$AC$55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'2ADP046'!$B$51:$AC$51</f>
            </numRef>
          </cat>
          <val>
            <numRef>
              <f>'2ADP046'!$B$56:$AC$56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'2ADP047'!$B$51:$AC$51</f>
            </numRef>
          </cat>
          <val>
            <numRef>
              <f>'2ADP047'!$B$52:$AC$52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'2ADP047'!$B$51:$AC$51</f>
            </numRef>
          </cat>
          <val>
            <numRef>
              <f>'2ADP047'!$B$53:$AC$53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'2ADP047'!$B$51:$AC$51</f>
            </numRef>
          </cat>
          <val>
            <numRef>
              <f>'2ADP047'!$B$54:$AC$54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'2ADP047'!$B$51:$AC$51</f>
            </numRef>
          </cat>
          <val>
            <numRef>
              <f>'2ADP047'!$B$55:$AC$55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'2ADP047'!$B$51:$AC$51</f>
            </numRef>
          </cat>
          <val>
            <numRef>
              <f>'2ADP047'!$B$56:$AC$56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'2ADP048'!$B$51:$AC$51</f>
            </numRef>
          </cat>
          <val>
            <numRef>
              <f>'2ADP048'!$B$52:$AC$52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'2ADP048'!$B$51:$AC$51</f>
            </numRef>
          </cat>
          <val>
            <numRef>
              <f>'2ADP048'!$B$53:$AC$53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'2ADP048'!$B$51:$AC$51</f>
            </numRef>
          </cat>
          <val>
            <numRef>
              <f>'2ADP048'!$B$54:$AC$54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'2ADP048'!$B$51:$AC$51</f>
            </numRef>
          </cat>
          <val>
            <numRef>
              <f>'2ADP048'!$B$55:$AC$55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'2ADP048'!$B$51:$AC$51</f>
            </numRef>
          </cat>
          <val>
            <numRef>
              <f>'2ADP048'!$B$56:$AC$56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'2ADP049'!$B$51:$AC$51</f>
            </numRef>
          </cat>
          <val>
            <numRef>
              <f>'2ADP049'!$B$52:$AC$52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'2ADP049'!$B$51:$AC$51</f>
            </numRef>
          </cat>
          <val>
            <numRef>
              <f>'2ADP049'!$B$53:$AC$53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'2ADP049'!$B$51:$AC$51</f>
            </numRef>
          </cat>
          <val>
            <numRef>
              <f>'2ADP049'!$B$54:$AC$54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'2ADP049'!$B$51:$AC$51</f>
            </numRef>
          </cat>
          <val>
            <numRef>
              <f>'2ADP049'!$B$55:$AC$55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'2ADP049'!$B$51:$AC$51</f>
            </numRef>
          </cat>
          <val>
            <numRef>
              <f>'2ADP049'!$B$56:$AC$56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'2ADP050'!$B$51:$AC$51</f>
            </numRef>
          </cat>
          <val>
            <numRef>
              <f>'2ADP050'!$B$52:$AC$52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'2ADP050'!$B$51:$AC$51</f>
            </numRef>
          </cat>
          <val>
            <numRef>
              <f>'2ADP050'!$B$53:$AC$53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'2ADP050'!$B$51:$AC$51</f>
            </numRef>
          </cat>
          <val>
            <numRef>
              <f>'2ADP050'!$B$54:$AC$54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'2ADP050'!$B$51:$AC$51</f>
            </numRef>
          </cat>
          <val>
            <numRef>
              <f>'2ADP050'!$B$55:$AC$55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'2ADP050'!$B$51:$AC$51</f>
            </numRef>
          </cat>
          <val>
            <numRef>
              <f>'2ADP050'!$B$56:$AC$56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'2ADP051'!$B$51:$AC$51</f>
            </numRef>
          </cat>
          <val>
            <numRef>
              <f>'2ADP051'!$B$52:$AC$52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'2ADP051'!$B$51:$AC$51</f>
            </numRef>
          </cat>
          <val>
            <numRef>
              <f>'2ADP051'!$B$53:$AC$53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'2ADP051'!$B$51:$AC$51</f>
            </numRef>
          </cat>
          <val>
            <numRef>
              <f>'2ADP051'!$B$54:$AC$54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'2ADP051'!$B$51:$AC$51</f>
            </numRef>
          </cat>
          <val>
            <numRef>
              <f>'2ADP051'!$B$55:$AC$55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'2ADP051'!$B$51:$AC$51</f>
            </numRef>
          </cat>
          <val>
            <numRef>
              <f>'2ADP051'!$B$56:$AC$56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'2ADP052'!$B$51:$AC$51</f>
            </numRef>
          </cat>
          <val>
            <numRef>
              <f>'2ADP052'!$B$52:$AC$52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'2ADP052'!$B$51:$AC$51</f>
            </numRef>
          </cat>
          <val>
            <numRef>
              <f>'2ADP052'!$B$53:$AC$53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'2ADP052'!$B$51:$AC$51</f>
            </numRef>
          </cat>
          <val>
            <numRef>
              <f>'2ADP052'!$B$54:$AC$54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'2ADP052'!$B$51:$AC$51</f>
            </numRef>
          </cat>
          <val>
            <numRef>
              <f>'2ADP052'!$B$55:$AC$55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'2ADP052'!$B$51:$AC$51</f>
            </numRef>
          </cat>
          <val>
            <numRef>
              <f>'2ADP052'!$B$56:$AC$56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'2ADP053'!$B$51:$AC$51</f>
            </numRef>
          </cat>
          <val>
            <numRef>
              <f>'2ADP053'!$B$52:$AC$52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'2ADP053'!$B$51:$AC$51</f>
            </numRef>
          </cat>
          <val>
            <numRef>
              <f>'2ADP053'!$B$53:$AC$53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'2ADP053'!$B$51:$AC$51</f>
            </numRef>
          </cat>
          <val>
            <numRef>
              <f>'2ADP053'!$B$54:$AC$54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'2ADP053'!$B$51:$AC$51</f>
            </numRef>
          </cat>
          <val>
            <numRef>
              <f>'2ADP053'!$B$55:$AC$55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'2ADP053'!$B$51:$AC$51</f>
            </numRef>
          </cat>
          <val>
            <numRef>
              <f>'2ADP053'!$B$56:$AC$56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'2ADP054'!$B$51:$AC$51</f>
            </numRef>
          </cat>
          <val>
            <numRef>
              <f>'2ADP054'!$B$52:$AC$52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'2ADP054'!$B$51:$AC$51</f>
            </numRef>
          </cat>
          <val>
            <numRef>
              <f>'2ADP054'!$B$53:$AC$53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'2ADP054'!$B$51:$AC$51</f>
            </numRef>
          </cat>
          <val>
            <numRef>
              <f>'2ADP054'!$B$54:$AC$54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'2ADP054'!$B$51:$AC$51</f>
            </numRef>
          </cat>
          <val>
            <numRef>
              <f>'2ADP054'!$B$55:$AC$55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'2ADP054'!$B$51:$AC$51</f>
            </numRef>
          </cat>
          <val>
            <numRef>
              <f>'2ADP054'!$B$56:$AC$56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'2ADP055'!$B$51:$AC$51</f>
            </numRef>
          </cat>
          <val>
            <numRef>
              <f>'2ADP055'!$B$52:$AC$52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'2ADP055'!$B$51:$AC$51</f>
            </numRef>
          </cat>
          <val>
            <numRef>
              <f>'2ADP055'!$B$53:$AC$53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'2ADP055'!$B$51:$AC$51</f>
            </numRef>
          </cat>
          <val>
            <numRef>
              <f>'2ADP055'!$B$54:$AC$54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'2ADP055'!$B$51:$AC$51</f>
            </numRef>
          </cat>
          <val>
            <numRef>
              <f>'2ADP055'!$B$55:$AC$55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'2ADP055'!$B$51:$AC$51</f>
            </numRef>
          </cat>
          <val>
            <numRef>
              <f>'2ADP055'!$B$56:$AC$56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'2ADP056'!$B$51:$AC$51</f>
            </numRef>
          </cat>
          <val>
            <numRef>
              <f>'2ADP056'!$B$52:$AC$52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'2ADP056'!$B$51:$AC$51</f>
            </numRef>
          </cat>
          <val>
            <numRef>
              <f>'2ADP056'!$B$53:$AC$53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'2ADP056'!$B$51:$AC$51</f>
            </numRef>
          </cat>
          <val>
            <numRef>
              <f>'2ADP056'!$B$54:$AC$54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'2ADP056'!$B$51:$AC$51</f>
            </numRef>
          </cat>
          <val>
            <numRef>
              <f>'2ADP056'!$B$55:$AC$55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'2ADP056'!$B$51:$AC$51</f>
            </numRef>
          </cat>
          <val>
            <numRef>
              <f>'2ADP056'!$B$56:$AC$56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'2ADP057'!$B$51:$AC$51</f>
            </numRef>
          </cat>
          <val>
            <numRef>
              <f>'2ADP057'!$B$52:$AC$52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'2ADP057'!$B$51:$AC$51</f>
            </numRef>
          </cat>
          <val>
            <numRef>
              <f>'2ADP057'!$B$53:$AC$53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'2ADP057'!$B$51:$AC$51</f>
            </numRef>
          </cat>
          <val>
            <numRef>
              <f>'2ADP057'!$B$54:$AC$54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'2ADP057'!$B$51:$AC$51</f>
            </numRef>
          </cat>
          <val>
            <numRef>
              <f>'2ADP057'!$B$55:$AC$55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'2ADP057'!$B$51:$AC$51</f>
            </numRef>
          </cat>
          <val>
            <numRef>
              <f>'2ADP057'!$B$56:$AC$56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'2ADP058'!$B$51:$AC$51</f>
            </numRef>
          </cat>
          <val>
            <numRef>
              <f>'2ADP058'!$B$52:$AC$52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'2ADP058'!$B$51:$AC$51</f>
            </numRef>
          </cat>
          <val>
            <numRef>
              <f>'2ADP058'!$B$53:$AC$53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'2ADP058'!$B$51:$AC$51</f>
            </numRef>
          </cat>
          <val>
            <numRef>
              <f>'2ADP058'!$B$54:$AC$54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'2ADP058'!$B$51:$AC$51</f>
            </numRef>
          </cat>
          <val>
            <numRef>
              <f>'2ADP058'!$B$55:$AC$55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'2ADP058'!$B$51:$AC$51</f>
            </numRef>
          </cat>
          <val>
            <numRef>
              <f>'2ADP058'!$B$56:$AC$56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'2ADP059'!$B$51:$AC$51</f>
            </numRef>
          </cat>
          <val>
            <numRef>
              <f>'2ADP059'!$B$52:$AC$52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'2ADP059'!$B$51:$AC$51</f>
            </numRef>
          </cat>
          <val>
            <numRef>
              <f>'2ADP059'!$B$53:$AC$53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'2ADP059'!$B$51:$AC$51</f>
            </numRef>
          </cat>
          <val>
            <numRef>
              <f>'2ADP059'!$B$54:$AC$54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'2ADP059'!$B$51:$AC$51</f>
            </numRef>
          </cat>
          <val>
            <numRef>
              <f>'2ADP059'!$B$55:$AC$55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'2ADP059'!$B$51:$AC$51</f>
            </numRef>
          </cat>
          <val>
            <numRef>
              <f>'2ADP059'!$B$56:$AC$56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'2ADP060'!$B$51:$AC$51</f>
            </numRef>
          </cat>
          <val>
            <numRef>
              <f>'2ADP060'!$B$52:$AC$52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'2ADP060'!$B$51:$AC$51</f>
            </numRef>
          </cat>
          <val>
            <numRef>
              <f>'2ADP060'!$B$53:$AC$53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'2ADP060'!$B$51:$AC$51</f>
            </numRef>
          </cat>
          <val>
            <numRef>
              <f>'2ADP060'!$B$54:$AC$54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'2ADP060'!$B$51:$AC$51</f>
            </numRef>
          </cat>
          <val>
            <numRef>
              <f>'2ADP060'!$B$55:$AC$55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'2ADP060'!$B$51:$AC$51</f>
            </numRef>
          </cat>
          <val>
            <numRef>
              <f>'2ADP060'!$B$56:$AC$56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'2ADP061'!$B$51:$AC$51</f>
            </numRef>
          </cat>
          <val>
            <numRef>
              <f>'2ADP061'!$B$52:$AC$52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'2ADP061'!$B$51:$AC$51</f>
            </numRef>
          </cat>
          <val>
            <numRef>
              <f>'2ADP061'!$B$53:$AC$53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'2ADP061'!$B$51:$AC$51</f>
            </numRef>
          </cat>
          <val>
            <numRef>
              <f>'2ADP061'!$B$54:$AC$54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'2ADP061'!$B$51:$AC$51</f>
            </numRef>
          </cat>
          <val>
            <numRef>
              <f>'2ADP061'!$B$55:$AC$55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'2ADP061'!$B$51:$AC$51</f>
            </numRef>
          </cat>
          <val>
            <numRef>
              <f>'2ADP061'!$B$56:$AC$56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'2ADP062'!$B$51:$AC$51</f>
            </numRef>
          </cat>
          <val>
            <numRef>
              <f>'2ADP062'!$B$52:$AC$52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'2ADP062'!$B$51:$AC$51</f>
            </numRef>
          </cat>
          <val>
            <numRef>
              <f>'2ADP062'!$B$53:$AC$53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'2ADP062'!$B$51:$AC$51</f>
            </numRef>
          </cat>
          <val>
            <numRef>
              <f>'2ADP062'!$B$54:$AC$54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'2ADP062'!$B$51:$AC$51</f>
            </numRef>
          </cat>
          <val>
            <numRef>
              <f>'2ADP062'!$B$55:$AC$55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'2ADP062'!$B$51:$AC$51</f>
            </numRef>
          </cat>
          <val>
            <numRef>
              <f>'2ADP062'!$B$56:$AC$56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'2ADP063'!$B$51:$AC$51</f>
            </numRef>
          </cat>
          <val>
            <numRef>
              <f>'2ADP063'!$B$52:$AC$52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'2ADP063'!$B$51:$AC$51</f>
            </numRef>
          </cat>
          <val>
            <numRef>
              <f>'2ADP063'!$B$53:$AC$53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'2ADP063'!$B$51:$AC$51</f>
            </numRef>
          </cat>
          <val>
            <numRef>
              <f>'2ADP063'!$B$54:$AC$54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'2ADP063'!$B$51:$AC$51</f>
            </numRef>
          </cat>
          <val>
            <numRef>
              <f>'2ADP063'!$B$55:$AC$55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'2ADP063'!$B$51:$AC$51</f>
            </numRef>
          </cat>
          <val>
            <numRef>
              <f>'2ADP063'!$B$56:$AC$56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'2ADP064'!$B$51:$AC$51</f>
            </numRef>
          </cat>
          <val>
            <numRef>
              <f>'2ADP064'!$B$52:$AC$52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'2ADP064'!$B$51:$AC$51</f>
            </numRef>
          </cat>
          <val>
            <numRef>
              <f>'2ADP064'!$B$53:$AC$53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'2ADP064'!$B$51:$AC$51</f>
            </numRef>
          </cat>
          <val>
            <numRef>
              <f>'2ADP064'!$B$54:$AC$54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'2ADP064'!$B$51:$AC$51</f>
            </numRef>
          </cat>
          <val>
            <numRef>
              <f>'2ADP064'!$B$55:$AC$55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'2ADP064'!$B$51:$AC$51</f>
            </numRef>
          </cat>
          <val>
            <numRef>
              <f>'2ADP064'!$B$56:$AC$56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'2ADP065'!$B$51:$AC$51</f>
            </numRef>
          </cat>
          <val>
            <numRef>
              <f>'2ADP065'!$B$52:$AC$52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'2ADP065'!$B$51:$AC$51</f>
            </numRef>
          </cat>
          <val>
            <numRef>
              <f>'2ADP065'!$B$53:$AC$53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'2ADP065'!$B$51:$AC$51</f>
            </numRef>
          </cat>
          <val>
            <numRef>
              <f>'2ADP065'!$B$54:$AC$54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'2ADP065'!$B$51:$AC$51</f>
            </numRef>
          </cat>
          <val>
            <numRef>
              <f>'2ADP065'!$B$55:$AC$55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'2ADP065'!$B$51:$AC$51</f>
            </numRef>
          </cat>
          <val>
            <numRef>
              <f>'2ADP065'!$B$56:$AC$56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'2ADP066'!$B$51:$AC$51</f>
            </numRef>
          </cat>
          <val>
            <numRef>
              <f>'2ADP066'!$B$52:$AC$52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'2ADP066'!$B$51:$AC$51</f>
            </numRef>
          </cat>
          <val>
            <numRef>
              <f>'2ADP066'!$B$53:$AC$53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'2ADP066'!$B$51:$AC$51</f>
            </numRef>
          </cat>
          <val>
            <numRef>
              <f>'2ADP066'!$B$54:$AC$54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'2ADP066'!$B$51:$AC$51</f>
            </numRef>
          </cat>
          <val>
            <numRef>
              <f>'2ADP066'!$B$55:$AC$55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'2ADP066'!$B$51:$AC$51</f>
            </numRef>
          </cat>
          <val>
            <numRef>
              <f>'2ADP066'!$B$56:$AC$56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'2ADP067'!$B$51:$AC$51</f>
            </numRef>
          </cat>
          <val>
            <numRef>
              <f>'2ADP067'!$B$52:$AC$52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'2ADP067'!$B$51:$AC$51</f>
            </numRef>
          </cat>
          <val>
            <numRef>
              <f>'2ADP067'!$B$53:$AC$53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'2ADP067'!$B$51:$AC$51</f>
            </numRef>
          </cat>
          <val>
            <numRef>
              <f>'2ADP067'!$B$54:$AC$54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'2ADP067'!$B$51:$AC$51</f>
            </numRef>
          </cat>
          <val>
            <numRef>
              <f>'2ADP067'!$B$55:$AC$55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'2ADP067'!$B$51:$AC$51</f>
            </numRef>
          </cat>
          <val>
            <numRef>
              <f>'2ADP067'!$B$56:$AC$56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'2ADP068'!$B$51:$AC$51</f>
            </numRef>
          </cat>
          <val>
            <numRef>
              <f>'2ADP068'!$B$52:$AC$52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'2ADP068'!$B$51:$AC$51</f>
            </numRef>
          </cat>
          <val>
            <numRef>
              <f>'2ADP068'!$B$53:$AC$53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'2ADP068'!$B$51:$AC$51</f>
            </numRef>
          </cat>
          <val>
            <numRef>
              <f>'2ADP068'!$B$54:$AC$54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'2ADP068'!$B$51:$AC$51</f>
            </numRef>
          </cat>
          <val>
            <numRef>
              <f>'2ADP068'!$B$55:$AC$55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'2ADP068'!$B$51:$AC$51</f>
            </numRef>
          </cat>
          <val>
            <numRef>
              <f>'2ADP068'!$B$56:$AC$56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'2ADP069'!$B$51:$AC$51</f>
            </numRef>
          </cat>
          <val>
            <numRef>
              <f>'2ADP069'!$B$52:$AC$52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'2ADP069'!$B$51:$AC$51</f>
            </numRef>
          </cat>
          <val>
            <numRef>
              <f>'2ADP069'!$B$53:$AC$53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'2ADP069'!$B$51:$AC$51</f>
            </numRef>
          </cat>
          <val>
            <numRef>
              <f>'2ADP069'!$B$54:$AC$54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'2ADP069'!$B$51:$AC$51</f>
            </numRef>
          </cat>
          <val>
            <numRef>
              <f>'2ADP069'!$B$55:$AC$55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'2ADP069'!$B$51:$AC$51</f>
            </numRef>
          </cat>
          <val>
            <numRef>
              <f>'2ADP069'!$B$56:$AC$56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'2ADP070'!$B$51:$AC$51</f>
            </numRef>
          </cat>
          <val>
            <numRef>
              <f>'2ADP070'!$B$52:$AC$52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'2ADP070'!$B$51:$AC$51</f>
            </numRef>
          </cat>
          <val>
            <numRef>
              <f>'2ADP070'!$B$53:$AC$53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'2ADP070'!$B$51:$AC$51</f>
            </numRef>
          </cat>
          <val>
            <numRef>
              <f>'2ADP070'!$B$54:$AC$54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'2ADP070'!$B$51:$AC$51</f>
            </numRef>
          </cat>
          <val>
            <numRef>
              <f>'2ADP070'!$B$55:$AC$55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'2ADP070'!$B$51:$AC$51</f>
            </numRef>
          </cat>
          <val>
            <numRef>
              <f>'2ADP070'!$B$56:$AC$56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'2ADP071'!$B$51:$AC$51</f>
            </numRef>
          </cat>
          <val>
            <numRef>
              <f>'2ADP071'!$B$52:$AC$52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'2ADP071'!$B$51:$AC$51</f>
            </numRef>
          </cat>
          <val>
            <numRef>
              <f>'2ADP071'!$B$53:$AC$53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'2ADP071'!$B$51:$AC$51</f>
            </numRef>
          </cat>
          <val>
            <numRef>
              <f>'2ADP071'!$B$54:$AC$54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'2ADP071'!$B$51:$AC$51</f>
            </numRef>
          </cat>
          <val>
            <numRef>
              <f>'2ADP071'!$B$55:$AC$55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'2ADP071'!$B$51:$AC$51</f>
            </numRef>
          </cat>
          <val>
            <numRef>
              <f>'2ADP071'!$B$56:$AC$56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'2ADP072'!$B$51:$AC$51</f>
            </numRef>
          </cat>
          <val>
            <numRef>
              <f>'2ADP072'!$B$52:$AC$52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'2ADP072'!$B$51:$AC$51</f>
            </numRef>
          </cat>
          <val>
            <numRef>
              <f>'2ADP072'!$B$53:$AC$53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'2ADP072'!$B$51:$AC$51</f>
            </numRef>
          </cat>
          <val>
            <numRef>
              <f>'2ADP072'!$B$54:$AC$54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'2ADP072'!$B$51:$AC$51</f>
            </numRef>
          </cat>
          <val>
            <numRef>
              <f>'2ADP072'!$B$55:$AC$55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'2ADP072'!$B$51:$AC$51</f>
            </numRef>
          </cat>
          <val>
            <numRef>
              <f>'2ADP072'!$B$56:$AC$56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'2ADP073'!$B$51:$AC$51</f>
            </numRef>
          </cat>
          <val>
            <numRef>
              <f>'2ADP073'!$B$52:$AC$52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'2ADP073'!$B$51:$AC$51</f>
            </numRef>
          </cat>
          <val>
            <numRef>
              <f>'2ADP073'!$B$53:$AC$53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'2ADP073'!$B$51:$AC$51</f>
            </numRef>
          </cat>
          <val>
            <numRef>
              <f>'2ADP073'!$B$54:$AC$54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'2ADP073'!$B$51:$AC$51</f>
            </numRef>
          </cat>
          <val>
            <numRef>
              <f>'2ADP073'!$B$55:$AC$55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'2ADP073'!$B$51:$AC$51</f>
            </numRef>
          </cat>
          <val>
            <numRef>
              <f>'2ADP073'!$B$56:$AC$56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'2ADP074'!$B$51:$AC$51</f>
            </numRef>
          </cat>
          <val>
            <numRef>
              <f>'2ADP074'!$B$52:$AC$52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'2ADP074'!$B$51:$AC$51</f>
            </numRef>
          </cat>
          <val>
            <numRef>
              <f>'2ADP074'!$B$53:$AC$53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'2ADP074'!$B$51:$AC$51</f>
            </numRef>
          </cat>
          <val>
            <numRef>
              <f>'2ADP074'!$B$54:$AC$54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'2ADP074'!$B$51:$AC$51</f>
            </numRef>
          </cat>
          <val>
            <numRef>
              <f>'2ADP074'!$B$55:$AC$55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'2ADP074'!$B$51:$AC$51</f>
            </numRef>
          </cat>
          <val>
            <numRef>
              <f>'2ADP074'!$B$56:$AC$56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'2ADP075'!$B$51:$AC$51</f>
            </numRef>
          </cat>
          <val>
            <numRef>
              <f>'2ADP075'!$B$52:$AC$52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'2ADP075'!$B$51:$AC$51</f>
            </numRef>
          </cat>
          <val>
            <numRef>
              <f>'2ADP075'!$B$53:$AC$53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'2ADP075'!$B$51:$AC$51</f>
            </numRef>
          </cat>
          <val>
            <numRef>
              <f>'2ADP075'!$B$54:$AC$54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'2ADP075'!$B$51:$AC$51</f>
            </numRef>
          </cat>
          <val>
            <numRef>
              <f>'2ADP075'!$B$55:$AC$55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'2ADP075'!$B$51:$AC$51</f>
            </numRef>
          </cat>
          <val>
            <numRef>
              <f>'2ADP075'!$B$56:$AC$56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'2ADP076'!$B$51:$AC$51</f>
            </numRef>
          </cat>
          <val>
            <numRef>
              <f>'2ADP076'!$B$52:$AC$52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'2ADP076'!$B$51:$AC$51</f>
            </numRef>
          </cat>
          <val>
            <numRef>
              <f>'2ADP076'!$B$53:$AC$53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'2ADP076'!$B$51:$AC$51</f>
            </numRef>
          </cat>
          <val>
            <numRef>
              <f>'2ADP076'!$B$54:$AC$54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'2ADP076'!$B$51:$AC$51</f>
            </numRef>
          </cat>
          <val>
            <numRef>
              <f>'2ADP076'!$B$55:$AC$55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'2ADP076'!$B$51:$AC$51</f>
            </numRef>
          </cat>
          <val>
            <numRef>
              <f>'2ADP076'!$B$56:$AC$56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'2ADP077'!$B$51:$AC$51</f>
            </numRef>
          </cat>
          <val>
            <numRef>
              <f>'2ADP077'!$B$52:$AC$52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'2ADP077'!$B$51:$AC$51</f>
            </numRef>
          </cat>
          <val>
            <numRef>
              <f>'2ADP077'!$B$53:$AC$53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'2ADP077'!$B$51:$AC$51</f>
            </numRef>
          </cat>
          <val>
            <numRef>
              <f>'2ADP077'!$B$54:$AC$54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'2ADP077'!$B$51:$AC$51</f>
            </numRef>
          </cat>
          <val>
            <numRef>
              <f>'2ADP077'!$B$55:$AC$55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'2ADP077'!$B$51:$AC$51</f>
            </numRef>
          </cat>
          <val>
            <numRef>
              <f>'2ADP077'!$B$56:$AC$56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'2ADP078'!$B$51:$AC$51</f>
            </numRef>
          </cat>
          <val>
            <numRef>
              <f>'2ADP078'!$B$52:$AC$52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'2ADP078'!$B$51:$AC$51</f>
            </numRef>
          </cat>
          <val>
            <numRef>
              <f>'2ADP078'!$B$53:$AC$53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'2ADP078'!$B$51:$AC$51</f>
            </numRef>
          </cat>
          <val>
            <numRef>
              <f>'2ADP078'!$B$54:$AC$54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'2ADP078'!$B$51:$AC$51</f>
            </numRef>
          </cat>
          <val>
            <numRef>
              <f>'2ADP078'!$B$55:$AC$55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'2ADP078'!$B$51:$AC$51</f>
            </numRef>
          </cat>
          <val>
            <numRef>
              <f>'2ADP078'!$B$56:$AC$56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'2ADP079'!$B$51:$AC$51</f>
            </numRef>
          </cat>
          <val>
            <numRef>
              <f>'2ADP079'!$B$52:$AC$52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'2ADP079'!$B$51:$AC$51</f>
            </numRef>
          </cat>
          <val>
            <numRef>
              <f>'2ADP079'!$B$53:$AC$53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'2ADP079'!$B$51:$AC$51</f>
            </numRef>
          </cat>
          <val>
            <numRef>
              <f>'2ADP079'!$B$54:$AC$54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'2ADP079'!$B$51:$AC$51</f>
            </numRef>
          </cat>
          <val>
            <numRef>
              <f>'2ADP079'!$B$55:$AC$55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'2ADP079'!$B$51:$AC$51</f>
            </numRef>
          </cat>
          <val>
            <numRef>
              <f>'2ADP079'!$B$56:$AC$56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'2ADP080'!$B$51:$AC$51</f>
            </numRef>
          </cat>
          <val>
            <numRef>
              <f>'2ADP080'!$B$52:$AC$52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'2ADP080'!$B$51:$AC$51</f>
            </numRef>
          </cat>
          <val>
            <numRef>
              <f>'2ADP080'!$B$53:$AC$53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'2ADP080'!$B$51:$AC$51</f>
            </numRef>
          </cat>
          <val>
            <numRef>
              <f>'2ADP080'!$B$54:$AC$54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'2ADP080'!$B$51:$AC$51</f>
            </numRef>
          </cat>
          <val>
            <numRef>
              <f>'2ADP080'!$B$55:$AC$55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'2ADP080'!$B$51:$AC$51</f>
            </numRef>
          </cat>
          <val>
            <numRef>
              <f>'2ADP080'!$B$56:$AC$56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'2ADP081'!$B$51:$AC$51</f>
            </numRef>
          </cat>
          <val>
            <numRef>
              <f>'2ADP081'!$B$52:$AC$52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'2ADP081'!$B$51:$AC$51</f>
            </numRef>
          </cat>
          <val>
            <numRef>
              <f>'2ADP081'!$B$53:$AC$53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'2ADP081'!$B$51:$AC$51</f>
            </numRef>
          </cat>
          <val>
            <numRef>
              <f>'2ADP081'!$B$54:$AC$54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'2ADP081'!$B$51:$AC$51</f>
            </numRef>
          </cat>
          <val>
            <numRef>
              <f>'2ADP081'!$B$55:$AC$55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'2ADP081'!$B$51:$AC$51</f>
            </numRef>
          </cat>
          <val>
            <numRef>
              <f>'2ADP081'!$B$56:$AC$56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'2ADP082'!$B$51:$AC$51</f>
            </numRef>
          </cat>
          <val>
            <numRef>
              <f>'2ADP082'!$B$52:$AC$52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'2ADP082'!$B$51:$AC$51</f>
            </numRef>
          </cat>
          <val>
            <numRef>
              <f>'2ADP082'!$B$53:$AC$53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'2ADP082'!$B$51:$AC$51</f>
            </numRef>
          </cat>
          <val>
            <numRef>
              <f>'2ADP082'!$B$54:$AC$54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'2ADP082'!$B$51:$AC$51</f>
            </numRef>
          </cat>
          <val>
            <numRef>
              <f>'2ADP082'!$B$55:$AC$55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'2ADP082'!$B$51:$AC$51</f>
            </numRef>
          </cat>
          <val>
            <numRef>
              <f>'2ADP082'!$B$56:$AC$56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'2ADP083'!$B$51:$AC$51</f>
            </numRef>
          </cat>
          <val>
            <numRef>
              <f>'2ADP083'!$B$52:$AC$52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'2ADP083'!$B$51:$AC$51</f>
            </numRef>
          </cat>
          <val>
            <numRef>
              <f>'2ADP083'!$B$53:$AC$53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'2ADP083'!$B$51:$AC$51</f>
            </numRef>
          </cat>
          <val>
            <numRef>
              <f>'2ADP083'!$B$54:$AC$54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'2ADP083'!$B$51:$AC$51</f>
            </numRef>
          </cat>
          <val>
            <numRef>
              <f>'2ADP083'!$B$55:$AC$55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'2ADP083'!$B$51:$AC$51</f>
            </numRef>
          </cat>
          <val>
            <numRef>
              <f>'2ADP083'!$B$56:$AC$56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'2ADP084'!$B$51:$AC$51</f>
            </numRef>
          </cat>
          <val>
            <numRef>
              <f>'2ADP084'!$B$52:$AC$52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'2ADP084'!$B$51:$AC$51</f>
            </numRef>
          </cat>
          <val>
            <numRef>
              <f>'2ADP084'!$B$53:$AC$53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'2ADP084'!$B$51:$AC$51</f>
            </numRef>
          </cat>
          <val>
            <numRef>
              <f>'2ADP084'!$B$54:$AC$54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'2ADP084'!$B$51:$AC$51</f>
            </numRef>
          </cat>
          <val>
            <numRef>
              <f>'2ADP084'!$B$55:$AC$55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'2ADP084'!$B$51:$AC$51</f>
            </numRef>
          </cat>
          <val>
            <numRef>
              <f>'2ADP084'!$B$56:$AC$56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'2ADP085'!$B$51:$AC$51</f>
            </numRef>
          </cat>
          <val>
            <numRef>
              <f>'2ADP085'!$B$52:$AC$52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'2ADP085'!$B$51:$AC$51</f>
            </numRef>
          </cat>
          <val>
            <numRef>
              <f>'2ADP085'!$B$53:$AC$53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'2ADP085'!$B$51:$AC$51</f>
            </numRef>
          </cat>
          <val>
            <numRef>
              <f>'2ADP085'!$B$54:$AC$54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'2ADP085'!$B$51:$AC$51</f>
            </numRef>
          </cat>
          <val>
            <numRef>
              <f>'2ADP085'!$B$55:$AC$55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'2ADP085'!$B$51:$AC$51</f>
            </numRef>
          </cat>
          <val>
            <numRef>
              <f>'2ADP085'!$B$56:$AC$56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'2ADP086'!$B$51:$AC$51</f>
            </numRef>
          </cat>
          <val>
            <numRef>
              <f>'2ADP086'!$B$52:$AC$52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'2ADP086'!$B$51:$AC$51</f>
            </numRef>
          </cat>
          <val>
            <numRef>
              <f>'2ADP086'!$B$53:$AC$53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'2ADP086'!$B$51:$AC$51</f>
            </numRef>
          </cat>
          <val>
            <numRef>
              <f>'2ADP086'!$B$54:$AC$54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'2ADP086'!$B$51:$AC$51</f>
            </numRef>
          </cat>
          <val>
            <numRef>
              <f>'2ADP086'!$B$55:$AC$55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'2ADP086'!$B$51:$AC$51</f>
            </numRef>
          </cat>
          <val>
            <numRef>
              <f>'2ADP086'!$B$56:$AC$56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5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'2ADP087'!$B$51:$AC$51</f>
            </numRef>
          </cat>
          <val>
            <numRef>
              <f>'2ADP087'!$B$52:$AC$52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'2ADP087'!$B$51:$AC$51</f>
            </numRef>
          </cat>
          <val>
            <numRef>
              <f>'2ADP087'!$B$53:$AC$53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'2ADP087'!$B$51:$AC$51</f>
            </numRef>
          </cat>
          <val>
            <numRef>
              <f>'2ADP087'!$B$54:$AC$54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'2ADP087'!$B$51:$AC$51</f>
            </numRef>
          </cat>
          <val>
            <numRef>
              <f>'2ADP087'!$B$55:$AC$55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'2ADP087'!$B$51:$AC$51</f>
            </numRef>
          </cat>
          <val>
            <numRef>
              <f>'2ADP087'!$B$56:$AC$56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 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4.xml" Id="rId1" 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5.xml" Id="rId1" /></Relationships>
</file>

<file path=xl/drawings/_rels/drawing16.xml.rels><Relationships xmlns="http://schemas.openxmlformats.org/package/2006/relationships"><Relationship Type="http://schemas.openxmlformats.org/officeDocument/2006/relationships/chart" Target="/xl/charts/chart16.xml" Id="rId1" /></Relationships>
</file>

<file path=xl/drawings/_rels/drawing17.xml.rels><Relationships xmlns="http://schemas.openxmlformats.org/package/2006/relationships"><Relationship Type="http://schemas.openxmlformats.org/officeDocument/2006/relationships/chart" Target="/xl/charts/chart17.xml" Id="rId1" /></Relationships>
</file>

<file path=xl/drawings/_rels/drawing18.xml.rels><Relationships xmlns="http://schemas.openxmlformats.org/package/2006/relationships"><Relationship Type="http://schemas.openxmlformats.org/officeDocument/2006/relationships/chart" Target="/xl/charts/chart18.xml" Id="rId1" /></Relationships>
</file>

<file path=xl/drawings/_rels/drawing19.xml.rels><Relationships xmlns="http://schemas.openxmlformats.org/package/2006/relationships"><Relationship Type="http://schemas.openxmlformats.org/officeDocument/2006/relationships/chart" Target="/xl/charts/chart19.xml" Id="rId1" /></Relationships>
</file>

<file path=xl/drawings/_rels/drawing20.xml.rels><Relationships xmlns="http://schemas.openxmlformats.org/package/2006/relationships"><Relationship Type="http://schemas.openxmlformats.org/officeDocument/2006/relationships/chart" Target="/xl/charts/chart20.xml" Id="rId1" /></Relationships>
</file>

<file path=xl/drawings/_rels/drawing21.xml.rels><Relationships xmlns="http://schemas.openxmlformats.org/package/2006/relationships"><Relationship Type="http://schemas.openxmlformats.org/officeDocument/2006/relationships/chart" Target="/xl/charts/chart21.xml" Id="rId1" /></Relationships>
</file>

<file path=xl/drawings/_rels/drawing22.xml.rels><Relationships xmlns="http://schemas.openxmlformats.org/package/2006/relationships"><Relationship Type="http://schemas.openxmlformats.org/officeDocument/2006/relationships/chart" Target="/xl/charts/chart22.xml" Id="rId1" /></Relationships>
</file>

<file path=xl/drawings/_rels/drawing23.xml.rels><Relationships xmlns="http://schemas.openxmlformats.org/package/2006/relationships"><Relationship Type="http://schemas.openxmlformats.org/officeDocument/2006/relationships/chart" Target="/xl/charts/chart23.xml" Id="rId1" /></Relationships>
</file>

<file path=xl/drawings/_rels/drawing24.xml.rels><Relationships xmlns="http://schemas.openxmlformats.org/package/2006/relationships"><Relationship Type="http://schemas.openxmlformats.org/officeDocument/2006/relationships/chart" Target="/xl/charts/chart24.xml" Id="rId1" /></Relationships>
</file>

<file path=xl/drawings/_rels/drawing25.xml.rels><Relationships xmlns="http://schemas.openxmlformats.org/package/2006/relationships"><Relationship Type="http://schemas.openxmlformats.org/officeDocument/2006/relationships/chart" Target="/xl/charts/chart25.xml" Id="rId1" /></Relationships>
</file>

<file path=xl/drawings/_rels/drawing26.xml.rels><Relationships xmlns="http://schemas.openxmlformats.org/package/2006/relationships"><Relationship Type="http://schemas.openxmlformats.org/officeDocument/2006/relationships/chart" Target="/xl/charts/chart26.xml" Id="rId1" /></Relationships>
</file>

<file path=xl/drawings/_rels/drawing27.xml.rels><Relationships xmlns="http://schemas.openxmlformats.org/package/2006/relationships"><Relationship Type="http://schemas.openxmlformats.org/officeDocument/2006/relationships/chart" Target="/xl/charts/chart27.xml" Id="rId1" /></Relationships>
</file>

<file path=xl/drawings/_rels/drawing28.xml.rels><Relationships xmlns="http://schemas.openxmlformats.org/package/2006/relationships"><Relationship Type="http://schemas.openxmlformats.org/officeDocument/2006/relationships/chart" Target="/xl/charts/chart28.xml" Id="rId1" /></Relationships>
</file>

<file path=xl/drawings/_rels/drawing29.xml.rels><Relationships xmlns="http://schemas.openxmlformats.org/package/2006/relationships"><Relationship Type="http://schemas.openxmlformats.org/officeDocument/2006/relationships/chart" Target="/xl/charts/chart29.xml" Id="rId1" /></Relationships>
</file>

<file path=xl/drawings/_rels/drawing30.xml.rels><Relationships xmlns="http://schemas.openxmlformats.org/package/2006/relationships"><Relationship Type="http://schemas.openxmlformats.org/officeDocument/2006/relationships/chart" Target="/xl/charts/chart30.xml" Id="rId1" /></Relationships>
</file>

<file path=xl/drawings/_rels/drawing31.xml.rels><Relationships xmlns="http://schemas.openxmlformats.org/package/2006/relationships"><Relationship Type="http://schemas.openxmlformats.org/officeDocument/2006/relationships/chart" Target="/xl/charts/chart31.xml" Id="rId1" /></Relationships>
</file>

<file path=xl/drawings/_rels/drawing32.xml.rels><Relationships xmlns="http://schemas.openxmlformats.org/package/2006/relationships"><Relationship Type="http://schemas.openxmlformats.org/officeDocument/2006/relationships/chart" Target="/xl/charts/chart32.xml" Id="rId1" /></Relationships>
</file>

<file path=xl/drawings/_rels/drawing33.xml.rels><Relationships xmlns="http://schemas.openxmlformats.org/package/2006/relationships"><Relationship Type="http://schemas.openxmlformats.org/officeDocument/2006/relationships/chart" Target="/xl/charts/chart33.xml" Id="rId1" /></Relationships>
</file>

<file path=xl/drawings/_rels/drawing34.xml.rels><Relationships xmlns="http://schemas.openxmlformats.org/package/2006/relationships"><Relationship Type="http://schemas.openxmlformats.org/officeDocument/2006/relationships/chart" Target="/xl/charts/chart34.xml" Id="rId1" /></Relationships>
</file>

<file path=xl/drawings/_rels/drawing35.xml.rels><Relationships xmlns="http://schemas.openxmlformats.org/package/2006/relationships"><Relationship Type="http://schemas.openxmlformats.org/officeDocument/2006/relationships/chart" Target="/xl/charts/chart35.xml" Id="rId1" /></Relationships>
</file>

<file path=xl/drawings/_rels/drawing36.xml.rels><Relationships xmlns="http://schemas.openxmlformats.org/package/2006/relationships"><Relationship Type="http://schemas.openxmlformats.org/officeDocument/2006/relationships/chart" Target="/xl/charts/chart36.xml" Id="rId1" /></Relationships>
</file>

<file path=xl/drawings/_rels/drawing37.xml.rels><Relationships xmlns="http://schemas.openxmlformats.org/package/2006/relationships"><Relationship Type="http://schemas.openxmlformats.org/officeDocument/2006/relationships/chart" Target="/xl/charts/chart37.xml" Id="rId1" /></Relationships>
</file>

<file path=xl/drawings/_rels/drawing38.xml.rels><Relationships xmlns="http://schemas.openxmlformats.org/package/2006/relationships"><Relationship Type="http://schemas.openxmlformats.org/officeDocument/2006/relationships/chart" Target="/xl/charts/chart38.xml" Id="rId1" /></Relationships>
</file>

<file path=xl/drawings/_rels/drawing39.xml.rels><Relationships xmlns="http://schemas.openxmlformats.org/package/2006/relationships"><Relationship Type="http://schemas.openxmlformats.org/officeDocument/2006/relationships/chart" Target="/xl/charts/chart39.xml" Id="rId1" /></Relationships>
</file>

<file path=xl/drawings/_rels/drawing40.xml.rels><Relationships xmlns="http://schemas.openxmlformats.org/package/2006/relationships"><Relationship Type="http://schemas.openxmlformats.org/officeDocument/2006/relationships/chart" Target="/xl/charts/chart40.xml" Id="rId1" /></Relationships>
</file>

<file path=xl/drawings/_rels/drawing41.xml.rels><Relationships xmlns="http://schemas.openxmlformats.org/package/2006/relationships"><Relationship Type="http://schemas.openxmlformats.org/officeDocument/2006/relationships/chart" Target="/xl/charts/chart41.xml" Id="rId1" /></Relationships>
</file>

<file path=xl/drawings/_rels/drawing42.xml.rels><Relationships xmlns="http://schemas.openxmlformats.org/package/2006/relationships"><Relationship Type="http://schemas.openxmlformats.org/officeDocument/2006/relationships/chart" Target="/xl/charts/chart42.xml" Id="rId1" /></Relationships>
</file>

<file path=xl/drawings/_rels/drawing43.xml.rels><Relationships xmlns="http://schemas.openxmlformats.org/package/2006/relationships"><Relationship Type="http://schemas.openxmlformats.org/officeDocument/2006/relationships/chart" Target="/xl/charts/chart43.xml" Id="rId1" /></Relationships>
</file>

<file path=xl/drawings/_rels/drawing44.xml.rels><Relationships xmlns="http://schemas.openxmlformats.org/package/2006/relationships"><Relationship Type="http://schemas.openxmlformats.org/officeDocument/2006/relationships/chart" Target="/xl/charts/chart44.xml" Id="rId1" /></Relationships>
</file>

<file path=xl/drawings/_rels/drawing45.xml.rels><Relationships xmlns="http://schemas.openxmlformats.org/package/2006/relationships"><Relationship Type="http://schemas.openxmlformats.org/officeDocument/2006/relationships/chart" Target="/xl/charts/chart45.xml" Id="rId1" /></Relationships>
</file>

<file path=xl/drawings/_rels/drawing46.xml.rels><Relationships xmlns="http://schemas.openxmlformats.org/package/2006/relationships"><Relationship Type="http://schemas.openxmlformats.org/officeDocument/2006/relationships/chart" Target="/xl/charts/chart46.xml" Id="rId1" /></Relationships>
</file>

<file path=xl/drawings/_rels/drawing47.xml.rels><Relationships xmlns="http://schemas.openxmlformats.org/package/2006/relationships"><Relationship Type="http://schemas.openxmlformats.org/officeDocument/2006/relationships/chart" Target="/xl/charts/chart47.xml" Id="rId1" /></Relationships>
</file>

<file path=xl/drawings/_rels/drawing48.xml.rels><Relationships xmlns="http://schemas.openxmlformats.org/package/2006/relationships"><Relationship Type="http://schemas.openxmlformats.org/officeDocument/2006/relationships/chart" Target="/xl/charts/chart48.xml" Id="rId1" /></Relationships>
</file>

<file path=xl/drawings/_rels/drawing49.xml.rels><Relationships xmlns="http://schemas.openxmlformats.org/package/2006/relationships"><Relationship Type="http://schemas.openxmlformats.org/officeDocument/2006/relationships/chart" Target="/xl/charts/chart49.xml" Id="rId1" /></Relationships>
</file>

<file path=xl/drawings/_rels/drawing50.xml.rels><Relationships xmlns="http://schemas.openxmlformats.org/package/2006/relationships"><Relationship Type="http://schemas.openxmlformats.org/officeDocument/2006/relationships/chart" Target="/xl/charts/chart50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5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6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7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8.xml" Id="rId1" 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9.xml" Id="rId1" 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30.xml" Id="rId1" 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31.xml" Id="rId1" 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32.xml" Id="rId1" 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3.xml" Id="rId1" 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4.xml" Id="rId1" 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35.xml" Id="rId1" 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36.xml" Id="rId1" /></Relationships>
</file>

<file path=xl/worksheets/_rels/sheet37.xml.rels><Relationships xmlns="http://schemas.openxmlformats.org/package/2006/relationships"><Relationship Type="http://schemas.openxmlformats.org/officeDocument/2006/relationships/drawing" Target="/xl/drawings/drawing37.xml" Id="rId1" /></Relationships>
</file>

<file path=xl/worksheets/_rels/sheet38.xml.rels><Relationships xmlns="http://schemas.openxmlformats.org/package/2006/relationships"><Relationship Type="http://schemas.openxmlformats.org/officeDocument/2006/relationships/drawing" Target="/xl/drawings/drawing38.xml" Id="rId1" /></Relationships>
</file>

<file path=xl/worksheets/_rels/sheet39.xml.rels><Relationships xmlns="http://schemas.openxmlformats.org/package/2006/relationships"><Relationship Type="http://schemas.openxmlformats.org/officeDocument/2006/relationships/drawing" Target="/xl/drawings/drawing39.xml" Id="rId1" /></Relationships>
</file>

<file path=xl/worksheets/_rels/sheet40.xml.rels><Relationships xmlns="http://schemas.openxmlformats.org/package/2006/relationships"><Relationship Type="http://schemas.openxmlformats.org/officeDocument/2006/relationships/drawing" Target="/xl/drawings/drawing40.xml" Id="rId1" /></Relationships>
</file>

<file path=xl/worksheets/_rels/sheet41.xml.rels><Relationships xmlns="http://schemas.openxmlformats.org/package/2006/relationships"><Relationship Type="http://schemas.openxmlformats.org/officeDocument/2006/relationships/drawing" Target="/xl/drawings/drawing41.xml" Id="rId1" /></Relationships>
</file>

<file path=xl/worksheets/_rels/sheet42.xml.rels><Relationships xmlns="http://schemas.openxmlformats.org/package/2006/relationships"><Relationship Type="http://schemas.openxmlformats.org/officeDocument/2006/relationships/drawing" Target="/xl/drawings/drawing42.xml" Id="rId1" /></Relationships>
</file>

<file path=xl/worksheets/_rels/sheet43.xml.rels><Relationships xmlns="http://schemas.openxmlformats.org/package/2006/relationships"><Relationship Type="http://schemas.openxmlformats.org/officeDocument/2006/relationships/drawing" Target="/xl/drawings/drawing43.xml" Id="rId1" /></Relationships>
</file>

<file path=xl/worksheets/_rels/sheet44.xml.rels><Relationships xmlns="http://schemas.openxmlformats.org/package/2006/relationships"><Relationship Type="http://schemas.openxmlformats.org/officeDocument/2006/relationships/drawing" Target="/xl/drawings/drawing44.xml" Id="rId1" /></Relationships>
</file>

<file path=xl/worksheets/_rels/sheet45.xml.rels><Relationships xmlns="http://schemas.openxmlformats.org/package/2006/relationships"><Relationship Type="http://schemas.openxmlformats.org/officeDocument/2006/relationships/drawing" Target="/xl/drawings/drawing45.xml" Id="rId1" /></Relationships>
</file>

<file path=xl/worksheets/_rels/sheet46.xml.rels><Relationships xmlns="http://schemas.openxmlformats.org/package/2006/relationships"><Relationship Type="http://schemas.openxmlformats.org/officeDocument/2006/relationships/drawing" Target="/xl/drawings/drawing46.xml" Id="rId1" /></Relationships>
</file>

<file path=xl/worksheets/_rels/sheet47.xml.rels><Relationships xmlns="http://schemas.openxmlformats.org/package/2006/relationships"><Relationship Type="http://schemas.openxmlformats.org/officeDocument/2006/relationships/drawing" Target="/xl/drawings/drawing47.xml" Id="rId1" /></Relationships>
</file>

<file path=xl/worksheets/_rels/sheet48.xml.rels><Relationships xmlns="http://schemas.openxmlformats.org/package/2006/relationships"><Relationship Type="http://schemas.openxmlformats.org/officeDocument/2006/relationships/drawing" Target="/xl/drawings/drawing48.xml" Id="rId1" /></Relationships>
</file>

<file path=xl/worksheets/_rels/sheet49.xml.rels><Relationships xmlns="http://schemas.openxmlformats.org/package/2006/relationships"><Relationship Type="http://schemas.openxmlformats.org/officeDocument/2006/relationships/drawing" Target="/xl/drawings/drawing49.xml" Id="rId1" /></Relationships>
</file>

<file path=xl/worksheets/_rels/sheet50.xml.rels><Relationships xmlns="http://schemas.openxmlformats.org/package/2006/relationships"><Relationship Type="http://schemas.openxmlformats.org/officeDocument/2006/relationships/drawing" Target="/xl/drawings/drawing5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2ADP038</t>
        </is>
      </c>
    </row>
    <row r="4">
      <c r="A4" s="1" t="inlineStr">
        <is>
          <t>ROLLUP #</t>
        </is>
      </c>
      <c r="B4" t="inlineStr">
        <is>
          <t>713082</t>
        </is>
      </c>
    </row>
    <row r="5">
      <c r="A5" s="1" t="inlineStr">
        <is>
          <t>PROJECT NAME</t>
        </is>
      </c>
      <c r="B5" t="inlineStr">
        <is>
          <t>Continuous Non invasive Blood Pressure Monitor En Route Care</t>
        </is>
      </c>
    </row>
    <row r="6">
      <c r="A6" s="1" t="inlineStr">
        <is>
          <t>TECHNICAL POINT OF CONTACT</t>
        </is>
      </c>
      <c r="B6" t="inlineStr">
        <is>
          <t>Matthew Dalton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BP, BQ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1312.72</v>
      </c>
      <c r="P18" s="2" t="n">
        <v>70.67</v>
      </c>
      <c r="Q18" s="2" t="n">
        <v>873.95</v>
      </c>
      <c r="R18" s="2" t="n">
        <v>1573.11</v>
      </c>
      <c r="S18" s="2" t="n">
        <v>574.3099999999999</v>
      </c>
      <c r="T18" s="2" t="n">
        <v>907.03</v>
      </c>
      <c r="AE18" s="10">
        <f>SUM(C18:AD18)</f>
        <v/>
      </c>
    </row>
    <row r="19">
      <c r="B19" t="inlineStr">
        <is>
          <t>Fringe 5990</t>
        </is>
      </c>
      <c r="N19" s="2" t="n">
        <v>563.4</v>
      </c>
      <c r="P19" s="2" t="n">
        <v>32</v>
      </c>
      <c r="Q19" s="2" t="n">
        <v>395.73</v>
      </c>
      <c r="R19" s="2" t="n">
        <v>712.3</v>
      </c>
      <c r="S19" s="2" t="n">
        <v>260.05</v>
      </c>
      <c r="T19" s="2" t="n">
        <v>452.48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N21" s="2" t="n">
        <v>341696</v>
      </c>
      <c r="O21" s="2" t="n">
        <v>147807</v>
      </c>
      <c r="P21" s="2" t="n">
        <v>142774</v>
      </c>
      <c r="Q21" s="2" t="n">
        <v>100602</v>
      </c>
      <c r="R21" s="2" t="n">
        <v>16802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T25" s="2" t="n">
        <v>19197.06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N27" s="2" t="n">
        <v>8952.440000000001</v>
      </c>
      <c r="O27" s="2" t="n">
        <v>4182.94</v>
      </c>
      <c r="P27" s="2" t="n">
        <v>4040.5</v>
      </c>
      <c r="Q27" s="2" t="n">
        <v>2847.04</v>
      </c>
      <c r="R27" s="2" t="n">
        <v>475.5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2422.84</v>
      </c>
      <c r="P29" s="2" t="n">
        <v>148.58</v>
      </c>
      <c r="Q29" s="2" t="n">
        <v>1837.47</v>
      </c>
      <c r="R29" s="2" t="n">
        <v>3307.46</v>
      </c>
      <c r="S29" s="2" t="n">
        <v>1207.47</v>
      </c>
      <c r="T29" s="2" t="n">
        <v>26898.05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K32" s="2" t="n">
        <v>1768.8</v>
      </c>
      <c r="L32" s="2" t="n">
        <v>1768.8</v>
      </c>
      <c r="M32" s="2" t="n">
        <v>1768.8</v>
      </c>
      <c r="N32" s="2" t="n">
        <v>1768.8</v>
      </c>
      <c r="O32" s="2" t="n">
        <v>1768.8</v>
      </c>
      <c r="P32" s="2" t="n">
        <v>1768.8</v>
      </c>
      <c r="Q32" s="2" t="n">
        <v>1768.8</v>
      </c>
      <c r="R32" s="2" t="n">
        <v>1768.8</v>
      </c>
      <c r="S32" s="2" t="n">
        <v>1768.8</v>
      </c>
      <c r="T32" s="2" t="n">
        <v>1768.8</v>
      </c>
      <c r="U32" s="2" t="n">
        <v>1768.8</v>
      </c>
      <c r="AE32" s="10">
        <f>SUM(C32:AD32)</f>
        <v/>
      </c>
    </row>
    <row r="33">
      <c r="B33" t="inlineStr">
        <is>
          <t>Fringe 5990</t>
        </is>
      </c>
      <c r="K33" s="2" t="n">
        <v>759.17</v>
      </c>
      <c r="L33" s="2" t="n">
        <v>759.17</v>
      </c>
      <c r="M33" s="2" t="n">
        <v>759.17</v>
      </c>
      <c r="N33" s="2" t="n">
        <v>759.17</v>
      </c>
      <c r="O33" s="2" t="n">
        <v>759.17</v>
      </c>
      <c r="P33" s="2" t="n">
        <v>759.17</v>
      </c>
      <c r="Q33" s="2" t="n">
        <v>759.17</v>
      </c>
      <c r="R33" s="2" t="n">
        <v>759.17</v>
      </c>
      <c r="S33" s="2" t="n">
        <v>759.17</v>
      </c>
      <c r="T33" s="2" t="n">
        <v>759.17</v>
      </c>
      <c r="U33" s="2" t="n">
        <v>759.17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K35" s="2" t="n">
        <v>68149.17999999999</v>
      </c>
      <c r="L35" s="2" t="n">
        <v>68149.17999999999</v>
      </c>
      <c r="M35" s="2" t="n">
        <v>68149.17999999999</v>
      </c>
      <c r="N35" s="2" t="n">
        <v>68149.17999999999</v>
      </c>
      <c r="O35" s="2" t="n">
        <v>68149.17999999999</v>
      </c>
      <c r="P35" s="2" t="n">
        <v>68149.17999999999</v>
      </c>
      <c r="Q35" s="2" t="n">
        <v>68149.17999999999</v>
      </c>
      <c r="R35" s="2" t="n">
        <v>68149.17999999999</v>
      </c>
      <c r="S35" s="2" t="n">
        <v>68149.17999999999</v>
      </c>
      <c r="T35" s="2" t="n">
        <v>68149.17999999999</v>
      </c>
      <c r="U35" s="2" t="n">
        <v>68149.17999999999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K41" s="2" t="n">
        <v>1785.51</v>
      </c>
      <c r="L41" s="2" t="n">
        <v>1785.51</v>
      </c>
      <c r="M41" s="2" t="n">
        <v>1785.51</v>
      </c>
      <c r="N41" s="2" t="n">
        <v>1785.51</v>
      </c>
      <c r="O41" s="2" t="n">
        <v>1785.51</v>
      </c>
      <c r="P41" s="2" t="n">
        <v>1785.51</v>
      </c>
      <c r="Q41" s="2" t="n">
        <v>1785.51</v>
      </c>
      <c r="R41" s="2" t="n">
        <v>1785.51</v>
      </c>
      <c r="S41" s="2" t="n">
        <v>1785.51</v>
      </c>
      <c r="T41" s="2" t="n">
        <v>1785.51</v>
      </c>
      <c r="U41" s="2" t="n">
        <v>1785.51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K43" s="2" t="n">
        <v>3264.62</v>
      </c>
      <c r="L43" s="2" t="n">
        <v>3264.62</v>
      </c>
      <c r="M43" s="2" t="n">
        <v>3264.62</v>
      </c>
      <c r="N43" s="2" t="n">
        <v>3264.62</v>
      </c>
      <c r="O43" s="2" t="n">
        <v>3264.62</v>
      </c>
      <c r="P43" s="2" t="n">
        <v>3264.62</v>
      </c>
      <c r="Q43" s="2" t="n">
        <v>3264.62</v>
      </c>
      <c r="R43" s="2" t="n">
        <v>3264.62</v>
      </c>
      <c r="S43" s="2" t="n">
        <v>3264.62</v>
      </c>
      <c r="T43" s="2" t="n">
        <v>3264.62</v>
      </c>
      <c r="U43" s="2" t="n">
        <v>3264.62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L45" s="2" t="n">
        <v>833000</v>
      </c>
      <c r="AE45" s="10">
        <f>SUM(C45:AD45)</f>
        <v/>
      </c>
    </row>
    <row r="46">
      <c r="B46" t="inlineStr">
        <is>
          <t>Obligated</t>
        </is>
      </c>
      <c r="L46" s="2" t="n">
        <v>833000</v>
      </c>
      <c r="AE46" s="10">
        <f>SUM(C46:AD46)</f>
        <v/>
      </c>
    </row>
    <row r="47">
      <c r="B47" t="inlineStr">
        <is>
          <t>Expended</t>
        </is>
      </c>
      <c r="L47" s="2" t="n">
        <v>136000</v>
      </c>
      <c r="M47" s="2" t="n">
        <v>60000</v>
      </c>
      <c r="N47" s="2" t="n">
        <v>159250</v>
      </c>
      <c r="O47" s="2" t="n">
        <v>159250</v>
      </c>
      <c r="P47" s="2" t="n">
        <v>318500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2ADP039</t>
        </is>
      </c>
    </row>
    <row r="4">
      <c r="A4" s="1" t="inlineStr">
        <is>
          <t>ROLLUP #</t>
        </is>
      </c>
      <c r="B4" t="inlineStr">
        <is>
          <t>713083</t>
        </is>
      </c>
    </row>
    <row r="5">
      <c r="A5" s="1" t="inlineStr">
        <is>
          <t>PROJECT NAME</t>
        </is>
      </c>
      <c r="B5" t="inlineStr">
        <is>
          <t>NASIC T 2 Program Ph II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BR, BS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1724.81</v>
      </c>
      <c r="AE18" s="10">
        <f>SUM(C18:AD18)</f>
        <v/>
      </c>
    </row>
    <row r="19">
      <c r="B19" t="inlineStr">
        <is>
          <t>Fringe 5990</t>
        </is>
      </c>
      <c r="N19" s="2" t="n">
        <v>740.3099999999999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N21" s="2" t="n">
        <v>105000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N27" s="2" t="n">
        <v>2751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3183.91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L32" s="2" t="n">
        <v>344.99</v>
      </c>
      <c r="M32" s="2" t="n">
        <v>344.99</v>
      </c>
      <c r="N32" s="2" t="n">
        <v>344.99</v>
      </c>
      <c r="O32" s="2" t="n">
        <v>344.99</v>
      </c>
      <c r="P32" s="2" t="n">
        <v>344.99</v>
      </c>
      <c r="AE32" s="10">
        <f>SUM(C32:AD32)</f>
        <v/>
      </c>
    </row>
    <row r="33">
      <c r="B33" t="inlineStr">
        <is>
          <t>Fringe 5990</t>
        </is>
      </c>
      <c r="L33" s="2" t="n">
        <v>148.07</v>
      </c>
      <c r="M33" s="2" t="n">
        <v>148.07</v>
      </c>
      <c r="N33" s="2" t="n">
        <v>148.07</v>
      </c>
      <c r="O33" s="2" t="n">
        <v>148.07</v>
      </c>
      <c r="P33" s="2" t="n">
        <v>148.07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L35" s="2" t="n">
        <v>21000</v>
      </c>
      <c r="M35" s="2" t="n">
        <v>21000</v>
      </c>
      <c r="N35" s="2" t="n">
        <v>21000</v>
      </c>
      <c r="O35" s="2" t="n">
        <v>21000</v>
      </c>
      <c r="P35" s="2" t="n">
        <v>21000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L41" s="2" t="n">
        <v>550.2</v>
      </c>
      <c r="M41" s="2" t="n">
        <v>550.2</v>
      </c>
      <c r="N41" s="2" t="n">
        <v>550.2</v>
      </c>
      <c r="O41" s="2" t="n">
        <v>550.2</v>
      </c>
      <c r="P41" s="2" t="n">
        <v>550.2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L43" s="2" t="n">
        <v>636.74</v>
      </c>
      <c r="M43" s="2" t="n">
        <v>636.74</v>
      </c>
      <c r="N43" s="2" t="n">
        <v>636.74</v>
      </c>
      <c r="O43" s="2" t="n">
        <v>636.74</v>
      </c>
      <c r="P43" s="2" t="n">
        <v>636.74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H45" s="2" t="n">
        <v>113400</v>
      </c>
      <c r="AE45" s="10">
        <f>SUM(C45:AD45)</f>
        <v/>
      </c>
    </row>
    <row r="46">
      <c r="B46" t="inlineStr">
        <is>
          <t>Obligated</t>
        </is>
      </c>
      <c r="H46" s="2" t="n">
        <v>113400</v>
      </c>
      <c r="AE46" s="10">
        <f>SUM(C46:AD46)</f>
        <v/>
      </c>
    </row>
    <row r="47">
      <c r="B47" t="inlineStr">
        <is>
          <t>Expended</t>
        </is>
      </c>
      <c r="M47" s="2" t="n">
        <v>60000</v>
      </c>
      <c r="N47" s="2" t="n">
        <v>53400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2ADP040</t>
        </is>
      </c>
    </row>
    <row r="4">
      <c r="A4" s="1" t="inlineStr">
        <is>
          <t>ROLLUP #</t>
        </is>
      </c>
      <c r="B4" t="inlineStr">
        <is>
          <t>713084</t>
        </is>
      </c>
    </row>
    <row r="5">
      <c r="A5" s="1" t="inlineStr">
        <is>
          <t>PROJECT NAME</t>
        </is>
      </c>
      <c r="B5" t="inlineStr">
        <is>
          <t>Large Area Additive Manufacturing For Conformal Apertures LAAMCA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BT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50300.42</v>
      </c>
      <c r="O18" s="2" t="n">
        <v>15773.59</v>
      </c>
      <c r="P18" s="2" t="n">
        <v>762.02</v>
      </c>
      <c r="AE18" s="10">
        <f>SUM(C18:AD18)</f>
        <v/>
      </c>
    </row>
    <row r="19">
      <c r="B19" t="inlineStr">
        <is>
          <t>Fringe 5990</t>
        </is>
      </c>
      <c r="N19" s="2" t="n">
        <v>21588.97</v>
      </c>
      <c r="O19" s="2" t="n">
        <v>7142.28</v>
      </c>
      <c r="P19" s="2" t="n">
        <v>345.04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N21" s="2" t="n">
        <v>124178.3</v>
      </c>
      <c r="O21" s="2" t="n">
        <v>95072.75999999999</v>
      </c>
      <c r="P21" s="2" t="n">
        <v>108734.39</v>
      </c>
      <c r="Q21" s="2" t="n">
        <v>267521.06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N24" s="2" t="n">
        <v>9582.5</v>
      </c>
      <c r="Q24" s="2" t="n">
        <v>10188.38</v>
      </c>
      <c r="R24" s="2" t="n">
        <v>-10188.38</v>
      </c>
      <c r="AE24" s="10">
        <f>SUM(C24:AD24)</f>
        <v/>
      </c>
    </row>
    <row r="25">
      <c r="B25" t="inlineStr">
        <is>
          <t>Other Direct Costs 5009</t>
        </is>
      </c>
      <c r="N25" s="2" t="n">
        <v>8507.25</v>
      </c>
      <c r="O25" s="2" t="n">
        <v>72276</v>
      </c>
      <c r="P25" s="2" t="n">
        <v>30644.25</v>
      </c>
      <c r="Q25" s="2" t="n">
        <v>1790.25</v>
      </c>
      <c r="R25" s="2" t="n">
        <v>-60555</v>
      </c>
      <c r="AE25" s="10">
        <f>SUM(C25:AD25)</f>
        <v/>
      </c>
    </row>
    <row r="26">
      <c r="B26" t="inlineStr">
        <is>
          <t>Material 5003</t>
        </is>
      </c>
      <c r="N26" s="2" t="n">
        <v>5172.94</v>
      </c>
      <c r="O26" s="2" t="n">
        <v>1064.59</v>
      </c>
      <c r="P26" s="2" t="n">
        <v>171.62</v>
      </c>
      <c r="AE26" s="10">
        <f>SUM(C26:AD26)</f>
        <v/>
      </c>
    </row>
    <row r="27">
      <c r="B27" t="inlineStr">
        <is>
          <t>Sub K Overhead 5992</t>
        </is>
      </c>
      <c r="N27" s="2" t="n">
        <v>3253.45</v>
      </c>
      <c r="O27" s="2" t="n">
        <v>2690.56</v>
      </c>
      <c r="P27" s="2" t="n">
        <v>3077.18</v>
      </c>
      <c r="Q27" s="2" t="n">
        <v>7570.85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122879.36</v>
      </c>
      <c r="O29" s="2" t="n">
        <v>139302.35</v>
      </c>
      <c r="P29" s="2" t="n">
        <v>46198.86</v>
      </c>
      <c r="Q29" s="2" t="n">
        <v>17335.47</v>
      </c>
      <c r="R29" s="2" t="n">
        <v>-102381.32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L32" s="2" t="n">
        <v>7649.25</v>
      </c>
      <c r="M32" s="2" t="n">
        <v>7649.25</v>
      </c>
      <c r="N32" s="2" t="n">
        <v>7649.25</v>
      </c>
      <c r="O32" s="2" t="n">
        <v>7649.25</v>
      </c>
      <c r="P32" s="2" t="n">
        <v>7649.25</v>
      </c>
      <c r="Q32" s="2" t="n">
        <v>7649.25</v>
      </c>
      <c r="R32" s="2" t="n">
        <v>7649.25</v>
      </c>
      <c r="S32" s="2" t="n">
        <v>7649.25</v>
      </c>
      <c r="AE32" s="10">
        <f>SUM(C32:AD32)</f>
        <v/>
      </c>
    </row>
    <row r="33">
      <c r="B33" t="inlineStr">
        <is>
          <t>Fringe 5990</t>
        </is>
      </c>
      <c r="L33" s="2" t="n">
        <v>3463.63</v>
      </c>
      <c r="M33" s="2" t="n">
        <v>3463.63</v>
      </c>
      <c r="N33" s="2" t="n">
        <v>3463.63</v>
      </c>
      <c r="O33" s="2" t="n">
        <v>3463.63</v>
      </c>
      <c r="P33" s="2" t="n">
        <v>3463.63</v>
      </c>
      <c r="Q33" s="2" t="n">
        <v>3463.63</v>
      </c>
      <c r="R33" s="2" t="n">
        <v>3463.63</v>
      </c>
      <c r="S33" s="2" t="n">
        <v>3463.63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L35" s="2" t="n">
        <v>74438.13</v>
      </c>
      <c r="M35" s="2" t="n">
        <v>74438.13</v>
      </c>
      <c r="N35" s="2" t="n">
        <v>74438.13</v>
      </c>
      <c r="O35" s="2" t="n">
        <v>74438.13</v>
      </c>
      <c r="P35" s="2" t="n">
        <v>74438.13</v>
      </c>
      <c r="Q35" s="2" t="n">
        <v>74438.13</v>
      </c>
      <c r="R35" s="2" t="n">
        <v>74438.13</v>
      </c>
      <c r="S35" s="2" t="n">
        <v>74438.13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L38" s="2" t="n">
        <v>1250</v>
      </c>
      <c r="M38" s="2" t="n">
        <v>1250</v>
      </c>
      <c r="N38" s="2" t="n">
        <v>1250</v>
      </c>
      <c r="O38" s="2" t="n">
        <v>1250</v>
      </c>
      <c r="P38" s="2" t="n">
        <v>1250</v>
      </c>
      <c r="Q38" s="2" t="n">
        <v>1250</v>
      </c>
      <c r="R38" s="2" t="n">
        <v>1250</v>
      </c>
      <c r="S38" s="2" t="n">
        <v>1250</v>
      </c>
      <c r="AE38" s="10">
        <f>SUM(C38:AD38)</f>
        <v/>
      </c>
    </row>
    <row r="39">
      <c r="B39" t="inlineStr">
        <is>
          <t>Other Direct Costs 5009</t>
        </is>
      </c>
      <c r="L39" s="2" t="n">
        <v>6625</v>
      </c>
      <c r="M39" s="2" t="n">
        <v>6625</v>
      </c>
      <c r="N39" s="2" t="n">
        <v>6625</v>
      </c>
      <c r="O39" s="2" t="n">
        <v>6625</v>
      </c>
      <c r="P39" s="2" t="n">
        <v>6625</v>
      </c>
      <c r="Q39" s="2" t="n">
        <v>6625</v>
      </c>
      <c r="R39" s="2" t="n">
        <v>6625</v>
      </c>
      <c r="S39" s="2" t="n">
        <v>6625</v>
      </c>
      <c r="AE39" s="10">
        <f>SUM(C39:AD39)</f>
        <v/>
      </c>
    </row>
    <row r="40">
      <c r="B40" t="inlineStr">
        <is>
          <t>Material 5003</t>
        </is>
      </c>
      <c r="L40" s="2" t="n">
        <v>812.5</v>
      </c>
      <c r="M40" s="2" t="n">
        <v>812.5</v>
      </c>
      <c r="N40" s="2" t="n">
        <v>812.5</v>
      </c>
      <c r="O40" s="2" t="n">
        <v>812.5</v>
      </c>
      <c r="P40" s="2" t="n">
        <v>812.5</v>
      </c>
      <c r="Q40" s="2" t="n">
        <v>812.5</v>
      </c>
      <c r="R40" s="2" t="n">
        <v>812.5</v>
      </c>
      <c r="S40" s="2" t="n">
        <v>812.5</v>
      </c>
      <c r="AE40" s="10">
        <f>SUM(C40:AD40)</f>
        <v/>
      </c>
    </row>
    <row r="41">
      <c r="B41" t="inlineStr">
        <is>
          <t>Sub K Overhead 5992</t>
        </is>
      </c>
      <c r="L41" s="2" t="n">
        <v>2106.5</v>
      </c>
      <c r="M41" s="2" t="n">
        <v>2106.5</v>
      </c>
      <c r="N41" s="2" t="n">
        <v>2106.5</v>
      </c>
      <c r="O41" s="2" t="n">
        <v>2106.5</v>
      </c>
      <c r="P41" s="2" t="n">
        <v>2106.5</v>
      </c>
      <c r="Q41" s="2" t="n">
        <v>2106.5</v>
      </c>
      <c r="R41" s="2" t="n">
        <v>2106.5</v>
      </c>
      <c r="S41" s="2" t="n">
        <v>2106.5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L43" s="2" t="n">
        <v>28655</v>
      </c>
      <c r="M43" s="2" t="n">
        <v>28655</v>
      </c>
      <c r="N43" s="2" t="n">
        <v>28655</v>
      </c>
      <c r="O43" s="2" t="n">
        <v>28655</v>
      </c>
      <c r="P43" s="2" t="n">
        <v>28655</v>
      </c>
      <c r="Q43" s="2" t="n">
        <v>28655</v>
      </c>
      <c r="R43" s="2" t="n">
        <v>28655</v>
      </c>
      <c r="S43" s="2" t="n">
        <v>28655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M45" s="2" t="n">
        <v>1000000</v>
      </c>
      <c r="AE45" s="10">
        <f>SUM(C45:AD45)</f>
        <v/>
      </c>
    </row>
    <row r="46">
      <c r="B46" t="inlineStr">
        <is>
          <t>Obligated</t>
        </is>
      </c>
      <c r="M46" s="2" t="n">
        <v>1000000</v>
      </c>
      <c r="AE46" s="10">
        <f>SUM(C46:AD46)</f>
        <v/>
      </c>
    </row>
    <row r="47">
      <c r="B47" t="inlineStr">
        <is>
          <t>Expended</t>
        </is>
      </c>
      <c r="N47" s="2" t="n">
        <v>500000</v>
      </c>
      <c r="O47" s="2" t="n">
        <v>300000</v>
      </c>
      <c r="P47" s="2" t="n">
        <v>200000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2ADP041</t>
        </is>
      </c>
    </row>
    <row r="4">
      <c r="A4" s="1" t="inlineStr">
        <is>
          <t>ROLLUP #</t>
        </is>
      </c>
      <c r="B4" t="inlineStr">
        <is>
          <t>713085</t>
        </is>
      </c>
    </row>
    <row r="5">
      <c r="A5" s="1" t="inlineStr">
        <is>
          <t>PROJECT NAME</t>
        </is>
      </c>
      <c r="B5" t="inlineStr">
        <is>
          <t>Capacity Building for Adv Mfg Hybrid Integrated Silicon Photonics</t>
        </is>
      </c>
    </row>
    <row r="6">
      <c r="A6" s="1" t="inlineStr">
        <is>
          <t>TECHNICAL POINT OF CONTACT</t>
        </is>
      </c>
      <c r="B6" t="inlineStr">
        <is>
          <t>Emily Heckman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BU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4433.12</v>
      </c>
      <c r="O18" s="2" t="n">
        <v>930.34</v>
      </c>
      <c r="R18" s="2" t="n">
        <v>79.04000000000001</v>
      </c>
      <c r="S18" s="2" t="n">
        <v>33.65</v>
      </c>
      <c r="T18" s="2" t="n">
        <v>12142</v>
      </c>
      <c r="AE18" s="10">
        <f>SUM(C18:AD18)</f>
        <v/>
      </c>
    </row>
    <row r="19">
      <c r="B19" t="inlineStr">
        <is>
          <t>Fringe 5990</t>
        </is>
      </c>
      <c r="N19" s="2" t="n">
        <v>1902.69</v>
      </c>
      <c r="O19" s="2" t="n">
        <v>421.26</v>
      </c>
      <c r="P19" s="2" t="n">
        <v>339.6</v>
      </c>
      <c r="R19" s="2" t="n">
        <v>35.79</v>
      </c>
      <c r="S19" s="2" t="n">
        <v>15.24</v>
      </c>
      <c r="T19" s="2" t="n">
        <v>5841.25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N21" s="2" t="n">
        <v>248422.23</v>
      </c>
      <c r="O21" s="2" t="n">
        <v>-138676.93</v>
      </c>
      <c r="P21" s="2" t="n">
        <v>519078.57</v>
      </c>
      <c r="Q21" s="2" t="n">
        <v>27584.43</v>
      </c>
      <c r="R21" s="2" t="n">
        <v>136894.32</v>
      </c>
      <c r="S21" s="2" t="n">
        <v>365.68</v>
      </c>
      <c r="T21" s="2" t="n">
        <v>19331.7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P26" s="2" t="n">
        <v>2684.79</v>
      </c>
      <c r="AE26" s="10">
        <f>SUM(C26:AD26)</f>
        <v/>
      </c>
    </row>
    <row r="27">
      <c r="B27" t="inlineStr">
        <is>
          <t>Sub K Overhead 5992</t>
        </is>
      </c>
      <c r="N27" s="2" t="n">
        <v>6508.66</v>
      </c>
      <c r="O27" s="2" t="n">
        <v>-3924.56</v>
      </c>
      <c r="P27" s="2" t="n">
        <v>14689.93</v>
      </c>
      <c r="Q27" s="2" t="n">
        <v>780.64</v>
      </c>
      <c r="R27" s="2" t="n">
        <v>3874.11</v>
      </c>
      <c r="S27" s="2" t="n">
        <v>10.35</v>
      </c>
      <c r="T27" s="2" t="n">
        <v>592.39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8182.07</v>
      </c>
      <c r="O29" s="2" t="n">
        <v>1956.03</v>
      </c>
      <c r="P29" s="2" t="n">
        <v>4376.9</v>
      </c>
      <c r="R29" s="2" t="n">
        <v>166.18</v>
      </c>
      <c r="S29" s="2" t="n">
        <v>70.75</v>
      </c>
      <c r="T29" s="2" t="n">
        <v>23621.68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M32" s="2" t="n">
        <v>1326.13</v>
      </c>
      <c r="N32" s="2" t="n">
        <v>1326.13</v>
      </c>
      <c r="O32" s="2" t="n">
        <v>1326.13</v>
      </c>
      <c r="P32" s="2" t="n">
        <v>1326.13</v>
      </c>
      <c r="Q32" s="2" t="n">
        <v>1326.13</v>
      </c>
      <c r="R32" s="2" t="n">
        <v>1326.13</v>
      </c>
      <c r="S32" s="2" t="n">
        <v>1326.13</v>
      </c>
      <c r="T32" s="2" t="n">
        <v>1326.13</v>
      </c>
      <c r="AE32" s="10">
        <f>SUM(C32:AD32)</f>
        <v/>
      </c>
    </row>
    <row r="33">
      <c r="B33" t="inlineStr">
        <is>
          <t>Fringe 5990</t>
        </is>
      </c>
      <c r="M33" s="2" t="n">
        <v>569</v>
      </c>
      <c r="N33" s="2" t="n">
        <v>569</v>
      </c>
      <c r="O33" s="2" t="n">
        <v>569</v>
      </c>
      <c r="P33" s="2" t="n">
        <v>569</v>
      </c>
      <c r="Q33" s="2" t="n">
        <v>569</v>
      </c>
      <c r="R33" s="2" t="n">
        <v>569</v>
      </c>
      <c r="S33" s="2" t="n">
        <v>569</v>
      </c>
      <c r="T33" s="2" t="n">
        <v>569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M35" s="2" t="n">
        <v>101625</v>
      </c>
      <c r="N35" s="2" t="n">
        <v>101625</v>
      </c>
      <c r="O35" s="2" t="n">
        <v>101625</v>
      </c>
      <c r="P35" s="2" t="n">
        <v>101625</v>
      </c>
      <c r="Q35" s="2" t="n">
        <v>101625</v>
      </c>
      <c r="R35" s="2" t="n">
        <v>101625</v>
      </c>
      <c r="S35" s="2" t="n">
        <v>101625</v>
      </c>
      <c r="T35" s="2" t="n">
        <v>101625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M39" s="2" t="n">
        <v>1843.75</v>
      </c>
      <c r="N39" s="2" t="n">
        <v>1843.75</v>
      </c>
      <c r="O39" s="2" t="n">
        <v>1843.75</v>
      </c>
      <c r="P39" s="2" t="n">
        <v>1843.75</v>
      </c>
      <c r="Q39" s="2" t="n">
        <v>1843.75</v>
      </c>
      <c r="R39" s="2" t="n">
        <v>1843.75</v>
      </c>
      <c r="S39" s="2" t="n">
        <v>1843.75</v>
      </c>
      <c r="T39" s="2" t="n">
        <v>1843.75</v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M41" s="2" t="n">
        <v>2682.63</v>
      </c>
      <c r="N41" s="2" t="n">
        <v>2682.63</v>
      </c>
      <c r="O41" s="2" t="n">
        <v>2682.63</v>
      </c>
      <c r="P41" s="2" t="n">
        <v>2682.63</v>
      </c>
      <c r="Q41" s="2" t="n">
        <v>2682.63</v>
      </c>
      <c r="R41" s="2" t="n">
        <v>2682.63</v>
      </c>
      <c r="S41" s="2" t="n">
        <v>2682.63</v>
      </c>
      <c r="T41" s="2" t="n">
        <v>2682.63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M43" s="2" t="n">
        <v>4828.5</v>
      </c>
      <c r="N43" s="2" t="n">
        <v>4828.5</v>
      </c>
      <c r="O43" s="2" t="n">
        <v>4828.5</v>
      </c>
      <c r="P43" s="2" t="n">
        <v>4828.5</v>
      </c>
      <c r="Q43" s="2" t="n">
        <v>4828.5</v>
      </c>
      <c r="R43" s="2" t="n">
        <v>4828.5</v>
      </c>
      <c r="S43" s="2" t="n">
        <v>4828.5</v>
      </c>
      <c r="T43" s="2" t="n">
        <v>4828.5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M45" s="2" t="n">
        <v>903000</v>
      </c>
      <c r="AE45" s="10">
        <f>SUM(C45:AD45)</f>
        <v/>
      </c>
    </row>
    <row r="46">
      <c r="B46" t="inlineStr">
        <is>
          <t>Obligated</t>
        </is>
      </c>
      <c r="M46" s="2" t="n">
        <v>903000</v>
      </c>
      <c r="AE46" s="10">
        <f>SUM(C46:AD46)</f>
        <v/>
      </c>
    </row>
    <row r="47">
      <c r="B47" t="inlineStr">
        <is>
          <t>Expended</t>
        </is>
      </c>
      <c r="N47" s="2" t="n">
        <v>800000</v>
      </c>
      <c r="O47" s="2" t="n">
        <v>25750</v>
      </c>
      <c r="P47" s="2" t="n">
        <v>35000</v>
      </c>
      <c r="Q47" s="2" t="n">
        <v>42250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2ADP042</t>
        </is>
      </c>
    </row>
    <row r="4">
      <c r="A4" s="1" t="inlineStr">
        <is>
          <t>ROLLUP #</t>
        </is>
      </c>
      <c r="B4" t="inlineStr">
        <is>
          <t>713086</t>
        </is>
      </c>
    </row>
    <row r="5">
      <c r="A5" s="1" t="inlineStr">
        <is>
          <t>PROJECT NAME</t>
        </is>
      </c>
      <c r="B5" t="inlineStr">
        <is>
          <t>DTRA Optimized Electronics for Fully Flex High Performance Electronics</t>
        </is>
      </c>
    </row>
    <row r="6">
      <c r="A6" s="1" t="inlineStr">
        <is>
          <t>TECHNICAL POINT OF CONTACT</t>
        </is>
      </c>
      <c r="B6" t="inlineStr">
        <is>
          <t>Robert Woods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BV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1123.42</v>
      </c>
      <c r="O18" s="2" t="n">
        <v>168.27</v>
      </c>
      <c r="Q18" s="2" t="n">
        <v>142.7</v>
      </c>
      <c r="R18" s="2" t="n">
        <v>6759.8</v>
      </c>
      <c r="S18" s="2" t="n">
        <v>22270.55</v>
      </c>
      <c r="T18" s="2" t="n">
        <v>8886.690000000001</v>
      </c>
      <c r="AE18" s="10">
        <f>SUM(C18:AD18)</f>
        <v/>
      </c>
    </row>
    <row r="19">
      <c r="B19" t="inlineStr">
        <is>
          <t>Fringe 5990</t>
        </is>
      </c>
      <c r="N19" s="2" t="n">
        <v>482.18</v>
      </c>
      <c r="O19" s="2" t="n">
        <v>76.19</v>
      </c>
      <c r="Q19" s="2" t="n">
        <v>64.61</v>
      </c>
      <c r="R19" s="2" t="n">
        <v>3060.84</v>
      </c>
      <c r="S19" s="2" t="n">
        <v>10084.11</v>
      </c>
      <c r="T19" s="2" t="n">
        <v>4902.53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N21" s="2" t="n">
        <v>167815.49</v>
      </c>
      <c r="P21" s="2" t="n">
        <v>223825.8</v>
      </c>
      <c r="R21" s="2" t="n">
        <v>68217.37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O23" s="2" t="n">
        <v>85000</v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R25" s="2" t="n">
        <v>4800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N27" s="2" t="n">
        <v>4396.77</v>
      </c>
      <c r="P27" s="2" t="n">
        <v>6334.27</v>
      </c>
      <c r="R27" s="2" t="n">
        <v>1930.55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2073.47</v>
      </c>
      <c r="O29" s="2" t="n">
        <v>353.79</v>
      </c>
      <c r="Q29" s="2" t="n">
        <v>300.03</v>
      </c>
      <c r="R29" s="2" t="n">
        <v>21158.99</v>
      </c>
      <c r="S29" s="2" t="n">
        <v>46823.63</v>
      </c>
      <c r="T29" s="2" t="n">
        <v>13804.78</v>
      </c>
      <c r="U29" s="2" t="n">
        <v>-4856.82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M32" s="2" t="n">
        <v>7566.22</v>
      </c>
      <c r="N32" s="2" t="n">
        <v>7566.22</v>
      </c>
      <c r="O32" s="2" t="n">
        <v>7566.22</v>
      </c>
      <c r="P32" s="2" t="n">
        <v>7566.22</v>
      </c>
      <c r="Q32" s="2" t="n">
        <v>7566.22</v>
      </c>
      <c r="R32" s="2" t="n">
        <v>7566.22</v>
      </c>
      <c r="S32" s="2" t="n">
        <v>7566.22</v>
      </c>
      <c r="T32" s="2" t="n">
        <v>7566.22</v>
      </c>
      <c r="U32" s="2" t="n">
        <v>7566.24</v>
      </c>
      <c r="AE32" s="10">
        <f>SUM(C32:AD32)</f>
        <v/>
      </c>
    </row>
    <row r="33">
      <c r="B33" t="inlineStr">
        <is>
          <t>Fringe 5990</t>
        </is>
      </c>
      <c r="M33" s="2" t="n">
        <v>3293.58</v>
      </c>
      <c r="N33" s="2" t="n">
        <v>3293.58</v>
      </c>
      <c r="O33" s="2" t="n">
        <v>3293.58</v>
      </c>
      <c r="P33" s="2" t="n">
        <v>3293.58</v>
      </c>
      <c r="Q33" s="2" t="n">
        <v>3293.58</v>
      </c>
      <c r="R33" s="2" t="n">
        <v>3293.58</v>
      </c>
      <c r="S33" s="2" t="n">
        <v>3293.58</v>
      </c>
      <c r="T33" s="2" t="n">
        <v>3293.58</v>
      </c>
      <c r="U33" s="2" t="n">
        <v>3293.36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M35" s="2" t="n">
        <v>51095.44</v>
      </c>
      <c r="N35" s="2" t="n">
        <v>51095.44</v>
      </c>
      <c r="O35" s="2" t="n">
        <v>51095.44</v>
      </c>
      <c r="P35" s="2" t="n">
        <v>51095.44</v>
      </c>
      <c r="Q35" s="2" t="n">
        <v>51095.44</v>
      </c>
      <c r="R35" s="2" t="n">
        <v>51095.44</v>
      </c>
      <c r="S35" s="2" t="n">
        <v>51095.44</v>
      </c>
      <c r="T35" s="2" t="n">
        <v>51095.44</v>
      </c>
      <c r="U35" s="2" t="n">
        <v>51095.44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M41" s="2" t="n">
        <v>1354.03</v>
      </c>
      <c r="N41" s="2" t="n">
        <v>1354.03</v>
      </c>
      <c r="O41" s="2" t="n">
        <v>1354.03</v>
      </c>
      <c r="P41" s="2" t="n">
        <v>1354.03</v>
      </c>
      <c r="Q41" s="2" t="n">
        <v>1354.03</v>
      </c>
      <c r="R41" s="2" t="n">
        <v>1354.03</v>
      </c>
      <c r="S41" s="2" t="n">
        <v>1354.03</v>
      </c>
      <c r="T41" s="2" t="n">
        <v>1354.03</v>
      </c>
      <c r="U41" s="2" t="n">
        <v>1354.03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M43" s="2" t="n">
        <v>14468.51</v>
      </c>
      <c r="N43" s="2" t="n">
        <v>14468.51</v>
      </c>
      <c r="O43" s="2" t="n">
        <v>14468.51</v>
      </c>
      <c r="P43" s="2" t="n">
        <v>14468.51</v>
      </c>
      <c r="Q43" s="2" t="n">
        <v>14468.51</v>
      </c>
      <c r="R43" s="2" t="n">
        <v>14468.51</v>
      </c>
      <c r="S43" s="2" t="n">
        <v>14468.51</v>
      </c>
      <c r="T43" s="2" t="n">
        <v>14468.51</v>
      </c>
      <c r="U43" s="2" t="n">
        <v>14468.65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M45" s="2" t="n">
        <v>700000</v>
      </c>
      <c r="AE45" s="10">
        <f>SUM(C45:AD45)</f>
        <v/>
      </c>
    </row>
    <row r="46">
      <c r="B46" t="inlineStr">
        <is>
          <t>Obligated</t>
        </is>
      </c>
      <c r="M46" s="2" t="n">
        <v>700000</v>
      </c>
      <c r="AE46" s="10">
        <f>SUM(C46:AD46)</f>
        <v/>
      </c>
    </row>
    <row r="47">
      <c r="B47" t="inlineStr">
        <is>
          <t>Expended</t>
        </is>
      </c>
      <c r="N47" s="2" t="n">
        <v>600000</v>
      </c>
      <c r="O47" s="2" t="n">
        <v>100000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2ADP043</t>
        </is>
      </c>
    </row>
    <row r="4">
      <c r="A4" s="1" t="inlineStr">
        <is>
          <t>ROLLUP #</t>
        </is>
      </c>
      <c r="B4" t="inlineStr">
        <is>
          <t>713087</t>
        </is>
      </c>
    </row>
    <row r="5">
      <c r="A5" s="1" t="inlineStr">
        <is>
          <t>PROJECT NAME</t>
        </is>
      </c>
      <c r="B5" t="inlineStr">
        <is>
          <t>Innovation Capacity Building for TSA</t>
        </is>
      </c>
    </row>
    <row r="6">
      <c r="A6" s="1" t="inlineStr">
        <is>
          <t>TECHNICAL POINT OF CONTACT</t>
        </is>
      </c>
      <c r="B6" t="inlineStr">
        <is>
          <t>Andrew Haskins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Gov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BW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164.91</v>
      </c>
      <c r="AE18" s="10">
        <f>SUM(C18:AD18)</f>
        <v/>
      </c>
    </row>
    <row r="19">
      <c r="B19" t="inlineStr">
        <is>
          <t>Fringe 5990</t>
        </is>
      </c>
      <c r="N19" s="2" t="n">
        <v>70.78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N21" s="2" t="n">
        <v>375539.43</v>
      </c>
      <c r="O21" s="2" t="n">
        <v>222460.57</v>
      </c>
      <c r="AE21" s="10">
        <f>SUM(C21:AD21)</f>
        <v/>
      </c>
    </row>
    <row r="22">
      <c r="B22" t="inlineStr">
        <is>
          <t>Consulting 5002</t>
        </is>
      </c>
      <c r="N22" s="2" t="n">
        <v>6587.55</v>
      </c>
      <c r="O22" s="2" t="n">
        <v>762.45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R25" s="2" t="n">
        <v>7504.4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N27" s="2" t="n">
        <v>9839.129999999999</v>
      </c>
      <c r="O27" s="2" t="n">
        <v>6295.64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8811.530000000001</v>
      </c>
      <c r="O29" s="2" t="n">
        <v>1103.42</v>
      </c>
      <c r="R29" s="2" t="n">
        <v>10860.19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M32" s="2" t="n">
        <v>78.3</v>
      </c>
      <c r="N32" s="2" t="n">
        <v>78.3</v>
      </c>
      <c r="O32" s="2" t="n">
        <v>78.3</v>
      </c>
      <c r="P32" s="2" t="n">
        <v>78.3</v>
      </c>
      <c r="Q32" s="2" t="n">
        <v>78.3</v>
      </c>
      <c r="R32" s="2" t="n">
        <v>78.3</v>
      </c>
      <c r="S32" s="2" t="n">
        <v>78.3</v>
      </c>
      <c r="AE32" s="10">
        <f>SUM(C32:AD32)</f>
        <v/>
      </c>
    </row>
    <row r="33">
      <c r="B33" t="inlineStr">
        <is>
          <t>Fringe 5990</t>
        </is>
      </c>
      <c r="M33" s="2" t="n">
        <v>33.65</v>
      </c>
      <c r="N33" s="2" t="n">
        <v>33.65</v>
      </c>
      <c r="O33" s="2" t="n">
        <v>33.65</v>
      </c>
      <c r="P33" s="2" t="n">
        <v>33.65</v>
      </c>
      <c r="Q33" s="2" t="n">
        <v>33.65</v>
      </c>
      <c r="R33" s="2" t="n">
        <v>33.65</v>
      </c>
      <c r="S33" s="2" t="n">
        <v>33.65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M35" s="2" t="n">
        <v>85428.57000000001</v>
      </c>
      <c r="N35" s="2" t="n">
        <v>85428.57000000001</v>
      </c>
      <c r="O35" s="2" t="n">
        <v>85428.57000000001</v>
      </c>
      <c r="P35" s="2" t="n">
        <v>85428.57000000001</v>
      </c>
      <c r="Q35" s="2" t="n">
        <v>85428.57000000001</v>
      </c>
      <c r="R35" s="2" t="n">
        <v>85428.57000000001</v>
      </c>
      <c r="S35" s="2" t="n">
        <v>85428.57000000001</v>
      </c>
      <c r="AE35" s="10">
        <f>SUM(C35:AD35)</f>
        <v/>
      </c>
    </row>
    <row r="36">
      <c r="B36" t="inlineStr">
        <is>
          <t>Consulting 5002</t>
        </is>
      </c>
      <c r="M36" s="2" t="n">
        <v>2142.86</v>
      </c>
      <c r="N36" s="2" t="n">
        <v>2142.86</v>
      </c>
      <c r="O36" s="2" t="n">
        <v>2142.86</v>
      </c>
      <c r="P36" s="2" t="n">
        <v>2142.86</v>
      </c>
      <c r="Q36" s="2" t="n">
        <v>2142.86</v>
      </c>
      <c r="R36" s="2" t="n">
        <v>2142.86</v>
      </c>
      <c r="S36" s="2" t="n">
        <v>2142.84</v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M41" s="2" t="n">
        <v>2239.09</v>
      </c>
      <c r="N41" s="2" t="n">
        <v>2239.09</v>
      </c>
      <c r="O41" s="2" t="n">
        <v>2239.09</v>
      </c>
      <c r="P41" s="2" t="n">
        <v>2239.09</v>
      </c>
      <c r="Q41" s="2" t="n">
        <v>2239.09</v>
      </c>
      <c r="R41" s="2" t="n">
        <v>2239.17</v>
      </c>
      <c r="S41" s="2" t="n">
        <v>2239.44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M43" s="2" t="n">
        <v>2934.61</v>
      </c>
      <c r="N43" s="2" t="n">
        <v>2934.61</v>
      </c>
      <c r="O43" s="2" t="n">
        <v>2934.61</v>
      </c>
      <c r="P43" s="2" t="n">
        <v>2934.61</v>
      </c>
      <c r="Q43" s="2" t="n">
        <v>2934.61</v>
      </c>
      <c r="R43" s="2" t="n">
        <v>2934.61</v>
      </c>
      <c r="S43" s="2" t="n">
        <v>2934.61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M45" s="2" t="n">
        <v>650000</v>
      </c>
      <c r="AE45" s="10">
        <f>SUM(C45:AD45)</f>
        <v/>
      </c>
    </row>
    <row r="46">
      <c r="B46" t="inlineStr">
        <is>
          <t>Obligated</t>
        </is>
      </c>
      <c r="M46" s="2" t="n">
        <v>650000</v>
      </c>
      <c r="AE46" s="10">
        <f>SUM(C46:AD46)</f>
        <v/>
      </c>
    </row>
    <row r="47">
      <c r="B47" t="inlineStr">
        <is>
          <t>Expended</t>
        </is>
      </c>
      <c r="N47" s="2" t="n">
        <v>240000</v>
      </c>
      <c r="O47" s="2" t="n">
        <v>300000</v>
      </c>
      <c r="P47" s="2" t="n">
        <v>110000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2ADP044</t>
        </is>
      </c>
    </row>
    <row r="4">
      <c r="A4" s="1" t="inlineStr">
        <is>
          <t>ROLLUP #</t>
        </is>
      </c>
      <c r="B4" t="inlineStr">
        <is>
          <t>713090</t>
        </is>
      </c>
    </row>
    <row r="5">
      <c r="A5" s="1" t="inlineStr">
        <is>
          <t>PROJECT NAME</t>
        </is>
      </c>
      <c r="B5" t="inlineStr">
        <is>
          <t>FHE Coversion of Demo Wearable Deep Tissue Oxgenation patch for Casulating nd Monitoring</t>
        </is>
      </c>
    </row>
    <row r="6">
      <c r="A6" s="1" t="inlineStr">
        <is>
          <t>TECHNICAL POINT OF CONTACT</t>
        </is>
      </c>
      <c r="B6" t="inlineStr">
        <is>
          <t>Matthew Dalton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BZ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117.79</v>
      </c>
      <c r="Q18" s="2" t="n">
        <v>24.97</v>
      </c>
      <c r="S18" s="2" t="n">
        <v>774.64</v>
      </c>
      <c r="AE18" s="10">
        <f>SUM(C18:AD18)</f>
        <v/>
      </c>
    </row>
    <row r="19">
      <c r="B19" t="inlineStr">
        <is>
          <t>Fringe 5990</t>
        </is>
      </c>
      <c r="N19" s="2" t="n">
        <v>50.56</v>
      </c>
      <c r="Q19" s="2" t="n">
        <v>11.31</v>
      </c>
      <c r="S19" s="2" t="n">
        <v>350.76</v>
      </c>
      <c r="T19" s="2" t="n">
        <v>21.84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N21" s="2" t="n">
        <v>18178.8</v>
      </c>
      <c r="P21" s="2" t="n">
        <v>36874.88</v>
      </c>
      <c r="Q21" s="2" t="n">
        <v>53597.6</v>
      </c>
      <c r="R21" s="2" t="n">
        <v>146573.27</v>
      </c>
      <c r="T21" s="2" t="n">
        <v>204772.63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Q26" s="2" t="n">
        <v>390.29</v>
      </c>
      <c r="AE26" s="10">
        <f>SUM(C26:AD26)</f>
        <v/>
      </c>
    </row>
    <row r="27">
      <c r="B27" t="inlineStr">
        <is>
          <t>Sub K Overhead 5992</t>
        </is>
      </c>
      <c r="N27" s="2" t="n">
        <v>476.28</v>
      </c>
      <c r="P27" s="2" t="n">
        <v>1043.56</v>
      </c>
      <c r="Q27" s="2" t="n">
        <v>1516.81</v>
      </c>
      <c r="R27" s="2" t="n">
        <v>4148.03</v>
      </c>
      <c r="T27" s="2" t="n">
        <v>6266.04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217.39</v>
      </c>
      <c r="Q29" s="2" t="n">
        <v>617.33</v>
      </c>
      <c r="S29" s="2" t="n">
        <v>1628.67</v>
      </c>
      <c r="T29" s="2" t="n">
        <v>-121.31</v>
      </c>
      <c r="U29" s="2" t="n">
        <v>22467.86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M32" s="2" t="n">
        <v>853.5</v>
      </c>
      <c r="N32" s="2" t="n">
        <v>853.5</v>
      </c>
      <c r="O32" s="2" t="n">
        <v>853.5</v>
      </c>
      <c r="P32" s="2" t="n">
        <v>853.5</v>
      </c>
      <c r="Q32" s="2" t="n">
        <v>853.5</v>
      </c>
      <c r="R32" s="2" t="n">
        <v>853.5</v>
      </c>
      <c r="S32" s="2" t="n">
        <v>853.5</v>
      </c>
      <c r="T32" s="2" t="n">
        <v>853.5</v>
      </c>
      <c r="U32" s="2" t="n">
        <v>853.5</v>
      </c>
      <c r="V32" s="2" t="n">
        <v>853.5</v>
      </c>
      <c r="AE32" s="10">
        <f>SUM(C32:AD32)</f>
        <v/>
      </c>
    </row>
    <row r="33">
      <c r="B33" t="inlineStr">
        <is>
          <t>Fringe 5990</t>
        </is>
      </c>
      <c r="M33" s="2" t="n">
        <v>366.32</v>
      </c>
      <c r="N33" s="2" t="n">
        <v>366.32</v>
      </c>
      <c r="O33" s="2" t="n">
        <v>366.32</v>
      </c>
      <c r="P33" s="2" t="n">
        <v>366.32</v>
      </c>
      <c r="Q33" s="2" t="n">
        <v>366.32</v>
      </c>
      <c r="R33" s="2" t="n">
        <v>366.32</v>
      </c>
      <c r="S33" s="2" t="n">
        <v>366.32</v>
      </c>
      <c r="T33" s="2" t="n">
        <v>366.32</v>
      </c>
      <c r="U33" s="2" t="n">
        <v>366.32</v>
      </c>
      <c r="V33" s="2" t="n">
        <v>366.32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M35" s="2" t="n">
        <v>45999.7</v>
      </c>
      <c r="N35" s="2" t="n">
        <v>45999.7</v>
      </c>
      <c r="O35" s="2" t="n">
        <v>45999.7</v>
      </c>
      <c r="P35" s="2" t="n">
        <v>45999.7</v>
      </c>
      <c r="Q35" s="2" t="n">
        <v>45999.7</v>
      </c>
      <c r="R35" s="2" t="n">
        <v>45999.7</v>
      </c>
      <c r="S35" s="2" t="n">
        <v>45999.7</v>
      </c>
      <c r="T35" s="2" t="n">
        <v>45999.7</v>
      </c>
      <c r="U35" s="2" t="n">
        <v>45999.7</v>
      </c>
      <c r="V35" s="2" t="n">
        <v>45999.7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M41" s="2" t="n">
        <v>1205.19</v>
      </c>
      <c r="N41" s="2" t="n">
        <v>1205.19</v>
      </c>
      <c r="O41" s="2" t="n">
        <v>1205.19</v>
      </c>
      <c r="P41" s="2" t="n">
        <v>1205.19</v>
      </c>
      <c r="Q41" s="2" t="n">
        <v>1205.19</v>
      </c>
      <c r="R41" s="2" t="n">
        <v>1205.19</v>
      </c>
      <c r="S41" s="2" t="n">
        <v>1205.19</v>
      </c>
      <c r="T41" s="2" t="n">
        <v>1205.19</v>
      </c>
      <c r="U41" s="2" t="n">
        <v>1205.19</v>
      </c>
      <c r="V41" s="2" t="n">
        <v>1205.19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M43" s="2" t="n">
        <v>1575.28</v>
      </c>
      <c r="N43" s="2" t="n">
        <v>1575.28</v>
      </c>
      <c r="O43" s="2" t="n">
        <v>1575.28</v>
      </c>
      <c r="P43" s="2" t="n">
        <v>1575.28</v>
      </c>
      <c r="Q43" s="2" t="n">
        <v>1575.28</v>
      </c>
      <c r="R43" s="2" t="n">
        <v>1575.28</v>
      </c>
      <c r="S43" s="2" t="n">
        <v>1575.28</v>
      </c>
      <c r="T43" s="2" t="n">
        <v>1575.28</v>
      </c>
      <c r="U43" s="2" t="n">
        <v>1575.28</v>
      </c>
      <c r="V43" s="2" t="n">
        <v>1575.28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M45" s="2" t="n">
        <v>500000</v>
      </c>
      <c r="AE45" s="10">
        <f>SUM(C45:AD45)</f>
        <v/>
      </c>
    </row>
    <row r="46">
      <c r="B46" t="inlineStr">
        <is>
          <t>Obligated</t>
        </is>
      </c>
      <c r="M46" s="2" t="n">
        <v>500000</v>
      </c>
      <c r="AE46" s="10">
        <f>SUM(C46:AD46)</f>
        <v/>
      </c>
    </row>
    <row r="47">
      <c r="B47" t="inlineStr">
        <is>
          <t>Expended</t>
        </is>
      </c>
      <c r="N47" s="2" t="n">
        <v>200000</v>
      </c>
      <c r="O47" s="2" t="n">
        <v>100000</v>
      </c>
      <c r="P47" s="2" t="n">
        <v>200000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2ADP045</t>
        </is>
      </c>
    </row>
    <row r="4">
      <c r="A4" s="1" t="inlineStr">
        <is>
          <t>ROLLUP #</t>
        </is>
      </c>
      <c r="B4" t="inlineStr">
        <is>
          <t>713089</t>
        </is>
      </c>
    </row>
    <row r="5">
      <c r="A5" s="1" t="inlineStr">
        <is>
          <t>PROJECT NAME</t>
        </is>
      </c>
      <c r="B5" t="inlineStr">
        <is>
          <t>NSIN Hacking for Defense FY2022 Q3 PT 3</t>
        </is>
      </c>
    </row>
    <row r="6">
      <c r="A6" s="1" t="inlineStr">
        <is>
          <t>TECHNICAL POINT OF CONTACT</t>
        </is>
      </c>
      <c r="B6" t="inlineStr">
        <is>
          <t>Scott Aughenbaugh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BX, BY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2308.15</v>
      </c>
      <c r="O18" s="2" t="n">
        <v>7787.88</v>
      </c>
      <c r="P18" s="2" t="n">
        <v>2848.07</v>
      </c>
      <c r="R18" s="2" t="n">
        <v>2056.12</v>
      </c>
      <c r="S18" s="2" t="n">
        <v>1365.67</v>
      </c>
      <c r="V18" s="2" t="n">
        <v>9262.52</v>
      </c>
      <c r="AE18" s="10">
        <f>SUM(C18:AD18)</f>
        <v/>
      </c>
    </row>
    <row r="19">
      <c r="B19" t="inlineStr">
        <is>
          <t>Fringe 5990</t>
        </is>
      </c>
      <c r="N19" s="2" t="n">
        <v>990.66</v>
      </c>
      <c r="O19" s="2" t="n">
        <v>3526.35</v>
      </c>
      <c r="P19" s="2" t="n">
        <v>1289.6</v>
      </c>
      <c r="R19" s="2" t="n">
        <v>931.01</v>
      </c>
      <c r="S19" s="2" t="n">
        <v>618.37</v>
      </c>
      <c r="T19" s="2" t="n">
        <v>38.51</v>
      </c>
      <c r="V19" s="2" t="n">
        <v>4455.27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N21" s="2" t="n">
        <v>1518000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O26" s="2" t="n">
        <v>48.83</v>
      </c>
      <c r="R26" s="2" t="n">
        <v>22.22</v>
      </c>
      <c r="S26" s="2" t="n">
        <v>1237.94</v>
      </c>
      <c r="AE26" s="10">
        <f>SUM(C26:AD26)</f>
        <v/>
      </c>
    </row>
    <row r="27">
      <c r="B27" t="inlineStr">
        <is>
          <t>Sub K Overhead 5992</t>
        </is>
      </c>
      <c r="N27" s="2" t="n">
        <v>39771.6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4260.08</v>
      </c>
      <c r="O29" s="2" t="n">
        <v>16444.63</v>
      </c>
      <c r="P29" s="2" t="n">
        <v>5988.04</v>
      </c>
      <c r="R29" s="2" t="n">
        <v>4355.13</v>
      </c>
      <c r="S29" s="2" t="n">
        <v>4662.84</v>
      </c>
      <c r="T29" s="2" t="n">
        <v>-378.89</v>
      </c>
      <c r="V29" s="2" t="n">
        <v>18023.81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M32" s="2" t="n">
        <v>3053.1</v>
      </c>
      <c r="N32" s="2" t="n">
        <v>3053.1</v>
      </c>
      <c r="O32" s="2" t="n">
        <v>3053.1</v>
      </c>
      <c r="P32" s="2" t="n">
        <v>3053.1</v>
      </c>
      <c r="Q32" s="2" t="n">
        <v>3053.1</v>
      </c>
      <c r="R32" s="2" t="n">
        <v>3053.1</v>
      </c>
      <c r="S32" s="2" t="n">
        <v>3053.1</v>
      </c>
      <c r="T32" s="2" t="n">
        <v>3053.1</v>
      </c>
      <c r="AE32" s="10">
        <f>SUM(C32:AD32)</f>
        <v/>
      </c>
    </row>
    <row r="33">
      <c r="B33" t="inlineStr">
        <is>
          <t>Fringe 5990</t>
        </is>
      </c>
      <c r="M33" s="2" t="n">
        <v>1310.39</v>
      </c>
      <c r="N33" s="2" t="n">
        <v>1310.39</v>
      </c>
      <c r="O33" s="2" t="n">
        <v>1310.39</v>
      </c>
      <c r="P33" s="2" t="n">
        <v>1310.39</v>
      </c>
      <c r="Q33" s="2" t="n">
        <v>1310.39</v>
      </c>
      <c r="R33" s="2" t="n">
        <v>1310.39</v>
      </c>
      <c r="S33" s="2" t="n">
        <v>1310.39</v>
      </c>
      <c r="T33" s="2" t="n">
        <v>1310.39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M35" s="2" t="n">
        <v>189750</v>
      </c>
      <c r="N35" s="2" t="n">
        <v>189750</v>
      </c>
      <c r="O35" s="2" t="n">
        <v>189750</v>
      </c>
      <c r="P35" s="2" t="n">
        <v>189750</v>
      </c>
      <c r="Q35" s="2" t="n">
        <v>189750</v>
      </c>
      <c r="R35" s="2" t="n">
        <v>189750</v>
      </c>
      <c r="S35" s="2" t="n">
        <v>189750</v>
      </c>
      <c r="T35" s="2" t="n">
        <v>189750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M40" s="2" t="n">
        <v>666.95</v>
      </c>
      <c r="N40" s="2" t="n">
        <v>666.95</v>
      </c>
      <c r="O40" s="2" t="n">
        <v>666.95</v>
      </c>
      <c r="P40" s="2" t="n">
        <v>666.95</v>
      </c>
      <c r="Q40" s="2" t="n">
        <v>666.95</v>
      </c>
      <c r="R40" s="2" t="n">
        <v>666.95</v>
      </c>
      <c r="S40" s="2" t="n">
        <v>666.95</v>
      </c>
      <c r="T40" s="2" t="n">
        <v>666.95</v>
      </c>
      <c r="AE40" s="10">
        <f>SUM(C40:AD40)</f>
        <v/>
      </c>
    </row>
    <row r="41">
      <c r="B41" t="inlineStr">
        <is>
          <t>Sub K Overhead 5992</t>
        </is>
      </c>
      <c r="M41" s="2" t="n">
        <v>4973.35</v>
      </c>
      <c r="N41" s="2" t="n">
        <v>4973.35</v>
      </c>
      <c r="O41" s="2" t="n">
        <v>4973.35</v>
      </c>
      <c r="P41" s="2" t="n">
        <v>4973.35</v>
      </c>
      <c r="Q41" s="2" t="n">
        <v>4973.35</v>
      </c>
      <c r="R41" s="2" t="n">
        <v>4973.35</v>
      </c>
      <c r="S41" s="2" t="n">
        <v>4973.35</v>
      </c>
      <c r="T41" s="2" t="n">
        <v>4973.35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M43" s="2" t="n">
        <v>6496.21</v>
      </c>
      <c r="N43" s="2" t="n">
        <v>6496.21</v>
      </c>
      <c r="O43" s="2" t="n">
        <v>6496.21</v>
      </c>
      <c r="P43" s="2" t="n">
        <v>6496.21</v>
      </c>
      <c r="Q43" s="2" t="n">
        <v>6496.21</v>
      </c>
      <c r="R43" s="2" t="n">
        <v>6496.21</v>
      </c>
      <c r="S43" s="2" t="n">
        <v>6496.21</v>
      </c>
      <c r="T43" s="2" t="n">
        <v>6496.21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M45" s="2" t="n">
        <v>1650000</v>
      </c>
      <c r="AE45" s="10">
        <f>SUM(C45:AD45)</f>
        <v/>
      </c>
    </row>
    <row r="46">
      <c r="B46" t="inlineStr">
        <is>
          <t>Obligated</t>
        </is>
      </c>
      <c r="M46" s="2" t="n">
        <v>1650000</v>
      </c>
      <c r="AE46" s="10">
        <f>SUM(C46:AD46)</f>
        <v/>
      </c>
    </row>
    <row r="47">
      <c r="B47" t="inlineStr">
        <is>
          <t>Expended</t>
        </is>
      </c>
      <c r="N47" s="2" t="n">
        <v>412500</v>
      </c>
      <c r="O47" s="2" t="n">
        <v>1237500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2ADP046</t>
        </is>
      </c>
    </row>
    <row r="4">
      <c r="A4" s="1" t="inlineStr">
        <is>
          <t>ROLLUP #</t>
        </is>
      </c>
      <c r="B4" t="inlineStr">
        <is>
          <t>1046</t>
        </is>
      </c>
    </row>
    <row r="5">
      <c r="A5" s="1" t="inlineStr">
        <is>
          <t>PROJECT NAME</t>
        </is>
      </c>
      <c r="B5" t="inlineStr">
        <is>
          <t>NASIC Global Exploitation Squadron GXF T2 Program PhIII</t>
        </is>
      </c>
    </row>
    <row r="6">
      <c r="A6" s="1" t="inlineStr">
        <is>
          <t>TECHNICAL POINT OF CONTACT</t>
        </is>
      </c>
      <c r="B6" t="inlineStr">
        <is>
          <t>Steven Luttrell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BR, BS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-36411.64</v>
      </c>
      <c r="R18" s="2" t="n">
        <v>515.38</v>
      </c>
      <c r="AE18" s="10">
        <f>SUM(C18:AD18)</f>
        <v/>
      </c>
    </row>
    <row r="19">
      <c r="B19" t="inlineStr">
        <is>
          <t>Fringe 5990</t>
        </is>
      </c>
      <c r="N19" s="2" t="n">
        <v>-15627.9</v>
      </c>
      <c r="R19" s="2" t="n">
        <v>233.37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N21" s="2" t="n">
        <v>1895963.05</v>
      </c>
      <c r="O21" s="2" t="n">
        <v>471922.94</v>
      </c>
      <c r="P21" s="2" t="n">
        <v>108314.99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N25" s="2" t="n">
        <v>108060.14</v>
      </c>
      <c r="Q25" s="2" t="n">
        <v>15000</v>
      </c>
      <c r="R25" s="2" t="n">
        <v>-15000</v>
      </c>
      <c r="AE25" s="10">
        <f>SUM(C25:AD25)</f>
        <v/>
      </c>
    </row>
    <row r="26">
      <c r="B26" t="inlineStr">
        <is>
          <t>Material 5003</t>
        </is>
      </c>
      <c r="N26" s="2" t="n">
        <v>127.23</v>
      </c>
      <c r="Q26" s="2" t="n">
        <v>100.05</v>
      </c>
      <c r="AE26" s="10">
        <f>SUM(C26:AD26)</f>
        <v/>
      </c>
    </row>
    <row r="27">
      <c r="B27" t="inlineStr">
        <is>
          <t>Sub K Overhead 5992</t>
        </is>
      </c>
      <c r="N27" s="2" t="n">
        <v>49674.23</v>
      </c>
      <c r="O27" s="2" t="n">
        <v>13355.42</v>
      </c>
      <c r="P27" s="2" t="n">
        <v>3065.31</v>
      </c>
      <c r="V27" s="2" t="n">
        <v>1265.76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72510.31</v>
      </c>
      <c r="Q29" s="2" t="n">
        <v>21852.79</v>
      </c>
      <c r="R29" s="2" t="n">
        <v>-20624.43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M32" s="2" t="n">
        <v>305.36</v>
      </c>
      <c r="N32" s="2" t="n">
        <v>305.36</v>
      </c>
      <c r="O32" s="2" t="n">
        <v>305.36</v>
      </c>
      <c r="P32" s="2" t="n">
        <v>305.36</v>
      </c>
      <c r="Q32" s="2" t="n">
        <v>305.36</v>
      </c>
      <c r="AE32" s="10">
        <f>SUM(C32:AD32)</f>
        <v/>
      </c>
    </row>
    <row r="33">
      <c r="B33" t="inlineStr">
        <is>
          <t>Fringe 5990</t>
        </is>
      </c>
      <c r="M33" s="2" t="n">
        <v>131.06</v>
      </c>
      <c r="N33" s="2" t="n">
        <v>131.06</v>
      </c>
      <c r="O33" s="2" t="n">
        <v>131.06</v>
      </c>
      <c r="P33" s="2" t="n">
        <v>131.06</v>
      </c>
      <c r="Q33" s="2" t="n">
        <v>131.06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M35" s="2" t="n">
        <v>495240.2</v>
      </c>
      <c r="N35" s="2" t="n">
        <v>495240.2</v>
      </c>
      <c r="O35" s="2" t="n">
        <v>495240.2</v>
      </c>
      <c r="P35" s="2" t="n">
        <v>495240.2</v>
      </c>
      <c r="Q35" s="2" t="n">
        <v>495240.2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M39" s="2" t="n">
        <v>11189.4</v>
      </c>
      <c r="N39" s="2" t="n">
        <v>11189.4</v>
      </c>
      <c r="O39" s="2" t="n">
        <v>11189.4</v>
      </c>
      <c r="P39" s="2" t="n">
        <v>11189.4</v>
      </c>
      <c r="Q39" s="2" t="n">
        <v>11189.4</v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M41" s="2" t="n">
        <v>12980.2</v>
      </c>
      <c r="N41" s="2" t="n">
        <v>12980.2</v>
      </c>
      <c r="O41" s="2" t="n">
        <v>12980.2</v>
      </c>
      <c r="P41" s="2" t="n">
        <v>12980.2</v>
      </c>
      <c r="Q41" s="2" t="n">
        <v>12980.2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M43" s="2" t="n">
        <v>15013.18</v>
      </c>
      <c r="N43" s="2" t="n">
        <v>15013.18</v>
      </c>
      <c r="O43" s="2" t="n">
        <v>15013.18</v>
      </c>
      <c r="P43" s="2" t="n">
        <v>15013.18</v>
      </c>
      <c r="Q43" s="2" t="n">
        <v>15013.18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M45" s="2" t="n">
        <v>2674297.49</v>
      </c>
      <c r="AE45" s="10">
        <f>SUM(C45:AD45)</f>
        <v/>
      </c>
    </row>
    <row r="46">
      <c r="B46" t="inlineStr">
        <is>
          <t>Obligated</t>
        </is>
      </c>
      <c r="M46" s="2" t="n">
        <v>2674297.49</v>
      </c>
      <c r="AE46" s="10">
        <f>SUM(C46:AD46)</f>
        <v/>
      </c>
    </row>
    <row r="47">
      <c r="B47" t="inlineStr">
        <is>
          <t>Expended</t>
        </is>
      </c>
      <c r="N47" s="2" t="n">
        <v>1200000</v>
      </c>
      <c r="O47" s="2" t="n">
        <v>1104048.06</v>
      </c>
      <c r="P47" s="2" t="n">
        <v>370249.43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2ADP047</t>
        </is>
      </c>
    </row>
    <row r="4">
      <c r="A4" s="1" t="inlineStr">
        <is>
          <t>ROLLUP #</t>
        </is>
      </c>
      <c r="B4" t="inlineStr">
        <is>
          <t>713091</t>
        </is>
      </c>
    </row>
    <row r="5">
      <c r="A5" s="1" t="inlineStr">
        <is>
          <t>PROJECT NAME</t>
        </is>
      </c>
      <c r="B5" t="inlineStr">
        <is>
          <t>Novel Adv Hybrid Electronics for Weapons nd Armaments Mfg Convergence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 Subk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CA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306.26</v>
      </c>
      <c r="P18" s="2" t="n">
        <v>47.12</v>
      </c>
      <c r="S18" s="2" t="n">
        <v>74.91</v>
      </c>
      <c r="T18" s="2" t="n">
        <v>35.06</v>
      </c>
      <c r="V18" s="2" t="n">
        <v>24695.67</v>
      </c>
      <c r="AE18" s="10">
        <f>SUM(C18:AD18)</f>
        <v/>
      </c>
    </row>
    <row r="19">
      <c r="B19" t="inlineStr">
        <is>
          <t>Fringe 5990</t>
        </is>
      </c>
      <c r="N19" s="2" t="n">
        <v>131.45</v>
      </c>
      <c r="P19" s="2" t="n">
        <v>21.34</v>
      </c>
      <c r="S19" s="2" t="n">
        <v>33.92</v>
      </c>
      <c r="T19" s="2" t="n">
        <v>18.98</v>
      </c>
      <c r="V19" s="2" t="n">
        <v>11878.62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N21" s="2" t="n">
        <v>196393.18</v>
      </c>
      <c r="O21" s="2" t="n">
        <v>206418.9</v>
      </c>
      <c r="P21" s="2" t="n">
        <v>356815.78</v>
      </c>
      <c r="Q21" s="2" t="n">
        <v>845956.22</v>
      </c>
      <c r="R21" s="2" t="n">
        <v>618247.66</v>
      </c>
      <c r="S21" s="2" t="n">
        <v>428722.9</v>
      </c>
      <c r="T21" s="2" t="n">
        <v>280629.62</v>
      </c>
      <c r="U21" s="2" t="n">
        <v>384102.91</v>
      </c>
      <c r="V21" s="2" t="n">
        <v>34185</v>
      </c>
      <c r="W21" s="2" t="n">
        <v>2815</v>
      </c>
      <c r="X21" s="2" t="n">
        <v>18367</v>
      </c>
      <c r="Y21" s="2" t="n">
        <v>42731</v>
      </c>
      <c r="Z21" s="2" t="n">
        <v>74572</v>
      </c>
      <c r="AA21" s="2" t="n">
        <v>142676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V23" s="2" t="n">
        <v>42000</v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N27" s="2" t="n">
        <v>5145.5</v>
      </c>
      <c r="O27" s="2" t="n">
        <v>5841.65</v>
      </c>
      <c r="P27" s="2" t="n">
        <v>10097.89</v>
      </c>
      <c r="Q27" s="2" t="n">
        <v>23940.56</v>
      </c>
      <c r="R27" s="2" t="n">
        <v>17496.41</v>
      </c>
      <c r="S27" s="2" t="n">
        <v>12132.86</v>
      </c>
      <c r="T27" s="2" t="n">
        <v>9573.33</v>
      </c>
      <c r="U27" s="2" t="n">
        <v>11753.55</v>
      </c>
      <c r="V27" s="2" t="n">
        <v>1046.06</v>
      </c>
      <c r="W27" s="2" t="n">
        <v>82.48</v>
      </c>
      <c r="X27" s="2" t="n">
        <v>538.16</v>
      </c>
      <c r="Y27" s="2" t="n">
        <v>1252.02</v>
      </c>
      <c r="Z27" s="2" t="n">
        <v>2184.96</v>
      </c>
      <c r="AA27" s="2" t="n">
        <v>4323.08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565.26</v>
      </c>
      <c r="P29" s="2" t="n">
        <v>99.06999999999999</v>
      </c>
      <c r="S29" s="2" t="n">
        <v>157.5</v>
      </c>
      <c r="T29" s="2" t="n">
        <v>56.49</v>
      </c>
      <c r="V29" s="2" t="n">
        <v>48054.96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M32" s="2" t="n">
        <v>2155.5</v>
      </c>
      <c r="N32" s="2" t="n">
        <v>2155.5</v>
      </c>
      <c r="O32" s="2" t="n">
        <v>2155.5</v>
      </c>
      <c r="P32" s="2" t="n">
        <v>2155.5</v>
      </c>
      <c r="Q32" s="2" t="n">
        <v>2155.5</v>
      </c>
      <c r="R32" s="2" t="n">
        <v>2155.5</v>
      </c>
      <c r="S32" s="2" t="n">
        <v>2155.5</v>
      </c>
      <c r="T32" s="2" t="n">
        <v>2155.5</v>
      </c>
      <c r="U32" s="2" t="n">
        <v>2155.5</v>
      </c>
      <c r="V32" s="2" t="n">
        <v>2155.5</v>
      </c>
      <c r="W32" s="2" t="n">
        <v>2155.5</v>
      </c>
      <c r="X32" s="2" t="n">
        <v>2155.5</v>
      </c>
      <c r="Y32" s="2" t="n">
        <v>2155.5</v>
      </c>
      <c r="Z32" s="2" t="n">
        <v>2155.5</v>
      </c>
      <c r="AA32" s="2" t="n">
        <v>2155.5</v>
      </c>
      <c r="AB32" s="2" t="n">
        <v>2155.5</v>
      </c>
      <c r="AE32" s="10">
        <f>SUM(C32:AD32)</f>
        <v/>
      </c>
    </row>
    <row r="33">
      <c r="B33" t="inlineStr">
        <is>
          <t>Fringe 5990</t>
        </is>
      </c>
      <c r="M33" s="2" t="n">
        <v>976.01</v>
      </c>
      <c r="N33" s="2" t="n">
        <v>976.01</v>
      </c>
      <c r="O33" s="2" t="n">
        <v>976.01</v>
      </c>
      <c r="P33" s="2" t="n">
        <v>976.01</v>
      </c>
      <c r="Q33" s="2" t="n">
        <v>976.01</v>
      </c>
      <c r="R33" s="2" t="n">
        <v>976.01</v>
      </c>
      <c r="S33" s="2" t="n">
        <v>976.01</v>
      </c>
      <c r="T33" s="2" t="n">
        <v>976.01</v>
      </c>
      <c r="U33" s="2" t="n">
        <v>976.01</v>
      </c>
      <c r="V33" s="2" t="n">
        <v>976.01</v>
      </c>
      <c r="W33" s="2" t="n">
        <v>976.01</v>
      </c>
      <c r="X33" s="2" t="n">
        <v>976.01</v>
      </c>
      <c r="Y33" s="2" t="n">
        <v>976.01</v>
      </c>
      <c r="Z33" s="2" t="n">
        <v>976.01</v>
      </c>
      <c r="AA33" s="2" t="n">
        <v>976.01</v>
      </c>
      <c r="AB33" s="2" t="n">
        <v>976.01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M35" s="2" t="n">
        <v>227113.63</v>
      </c>
      <c r="N35" s="2" t="n">
        <v>227113.63</v>
      </c>
      <c r="O35" s="2" t="n">
        <v>227113.63</v>
      </c>
      <c r="P35" s="2" t="n">
        <v>227113.63</v>
      </c>
      <c r="Q35" s="2" t="n">
        <v>227113.63</v>
      </c>
      <c r="R35" s="2" t="n">
        <v>227113.63</v>
      </c>
      <c r="S35" s="2" t="n">
        <v>227113.63</v>
      </c>
      <c r="T35" s="2" t="n">
        <v>227113.63</v>
      </c>
      <c r="U35" s="2" t="n">
        <v>227113.63</v>
      </c>
      <c r="V35" s="2" t="n">
        <v>227113.63</v>
      </c>
      <c r="W35" s="2" t="n">
        <v>227113.63</v>
      </c>
      <c r="X35" s="2" t="n">
        <v>227113.63</v>
      </c>
      <c r="Y35" s="2" t="n">
        <v>227113.63</v>
      </c>
      <c r="Z35" s="2" t="n">
        <v>227113.63</v>
      </c>
      <c r="AA35" s="2" t="n">
        <v>227113.63</v>
      </c>
      <c r="AB35" s="2" t="n">
        <v>227113.63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M41" s="2" t="n">
        <v>6347.88</v>
      </c>
      <c r="N41" s="2" t="n">
        <v>6347.88</v>
      </c>
      <c r="O41" s="2" t="n">
        <v>6347.88</v>
      </c>
      <c r="P41" s="2" t="n">
        <v>6347.88</v>
      </c>
      <c r="Q41" s="2" t="n">
        <v>6347.88</v>
      </c>
      <c r="R41" s="2" t="n">
        <v>6347.88</v>
      </c>
      <c r="S41" s="2" t="n">
        <v>6347.88</v>
      </c>
      <c r="T41" s="2" t="n">
        <v>6347.88</v>
      </c>
      <c r="U41" s="2" t="n">
        <v>6347.88</v>
      </c>
      <c r="V41" s="2" t="n">
        <v>6347.88</v>
      </c>
      <c r="W41" s="2" t="n">
        <v>6347.88</v>
      </c>
      <c r="X41" s="2" t="n">
        <v>6347.88</v>
      </c>
      <c r="Y41" s="2" t="n">
        <v>6347.88</v>
      </c>
      <c r="Z41" s="2" t="n">
        <v>6347.88</v>
      </c>
      <c r="AA41" s="2" t="n">
        <v>6347.88</v>
      </c>
      <c r="AB41" s="2" t="n">
        <v>6347.8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M43" s="2" t="n">
        <v>4531.92</v>
      </c>
      <c r="N43" s="2" t="n">
        <v>4531.92</v>
      </c>
      <c r="O43" s="2" t="n">
        <v>4531.92</v>
      </c>
      <c r="P43" s="2" t="n">
        <v>4531.92</v>
      </c>
      <c r="Q43" s="2" t="n">
        <v>4531.92</v>
      </c>
      <c r="R43" s="2" t="n">
        <v>4531.92</v>
      </c>
      <c r="S43" s="2" t="n">
        <v>4531.92</v>
      </c>
      <c r="T43" s="2" t="n">
        <v>4531.92</v>
      </c>
      <c r="U43" s="2" t="n">
        <v>4531.92</v>
      </c>
      <c r="V43" s="2" t="n">
        <v>4531.92</v>
      </c>
      <c r="W43" s="2" t="n">
        <v>4531.92</v>
      </c>
      <c r="X43" s="2" t="n">
        <v>4531.92</v>
      </c>
      <c r="Y43" s="2" t="n">
        <v>4531.92</v>
      </c>
      <c r="Z43" s="2" t="n">
        <v>4531.92</v>
      </c>
      <c r="AA43" s="2" t="n">
        <v>4531.92</v>
      </c>
      <c r="AB43" s="2" t="n">
        <v>4533.04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M45" s="2" t="n">
        <v>3858000</v>
      </c>
      <c r="AE45" s="10">
        <f>SUM(C45:AD45)</f>
        <v/>
      </c>
    </row>
    <row r="46">
      <c r="B46" t="inlineStr">
        <is>
          <t>Obligated</t>
        </is>
      </c>
      <c r="M46" s="2" t="n">
        <v>3858000</v>
      </c>
      <c r="AE46" s="10">
        <f>SUM(C46:AD46)</f>
        <v/>
      </c>
    </row>
    <row r="47">
      <c r="B47" t="inlineStr">
        <is>
          <t>Expended</t>
        </is>
      </c>
      <c r="N47" s="2" t="n">
        <v>643000</v>
      </c>
      <c r="O47" s="2" t="n">
        <v>803750</v>
      </c>
      <c r="P47" s="2" t="n">
        <v>1000000</v>
      </c>
      <c r="Q47" s="2" t="n">
        <v>850000</v>
      </c>
      <c r="R47" s="2" t="n">
        <v>561250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2ADP048</t>
        </is>
      </c>
    </row>
    <row r="4">
      <c r="A4" s="1" t="inlineStr">
        <is>
          <t>ROLLUP #</t>
        </is>
      </c>
      <c r="B4" t="inlineStr">
        <is>
          <t>1048</t>
        </is>
      </c>
    </row>
    <row r="5">
      <c r="A5" s="1" t="inlineStr">
        <is>
          <t>PROJECT NAME</t>
        </is>
      </c>
      <c r="B5" t="inlineStr">
        <is>
          <t>NSIN Hacking For Defense FY 2022 Q3 Pt 4</t>
        </is>
      </c>
    </row>
    <row r="6">
      <c r="A6" s="1" t="inlineStr">
        <is>
          <t>TECHNICAL POINT OF CONTACT</t>
        </is>
      </c>
      <c r="B6" t="inlineStr">
        <is>
          <t>Scott Aughenbaugh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BY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12755.11</v>
      </c>
      <c r="O18" s="2" t="n">
        <v>26256.13</v>
      </c>
      <c r="P18" s="2" t="n">
        <v>6787.81</v>
      </c>
      <c r="R18" s="2" t="n">
        <v>-6765.26</v>
      </c>
      <c r="AE18" s="10">
        <f>SUM(C18:AD18)</f>
        <v/>
      </c>
    </row>
    <row r="19">
      <c r="B19" t="inlineStr">
        <is>
          <t>Fringe 5990</t>
        </is>
      </c>
      <c r="N19" s="2" t="n">
        <v>5474.5</v>
      </c>
      <c r="O19" s="2" t="n">
        <v>11888.77</v>
      </c>
      <c r="P19" s="2" t="n">
        <v>3073.52</v>
      </c>
      <c r="R19" s="2" t="n">
        <v>-3063.31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N21" s="2" t="n">
        <v>1027772.37</v>
      </c>
      <c r="O21" s="2" t="n">
        <v>527027.63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N27" s="2" t="n">
        <v>26927.64</v>
      </c>
      <c r="O27" s="2" t="n">
        <v>14914.89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23541.71</v>
      </c>
      <c r="O29" s="2" t="n">
        <v>55203.31</v>
      </c>
      <c r="P29" s="2" t="n">
        <v>14271.32</v>
      </c>
      <c r="R29" s="2" t="n">
        <v>-14223.59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N32" s="2" t="n">
        <v>5769.04</v>
      </c>
      <c r="O32" s="2" t="n">
        <v>5769.04</v>
      </c>
      <c r="P32" s="2" t="n">
        <v>5769.04</v>
      </c>
      <c r="Q32" s="2" t="n">
        <v>5769.04</v>
      </c>
      <c r="R32" s="2" t="n">
        <v>5769.04</v>
      </c>
      <c r="AE32" s="10">
        <f>SUM(C32:AD32)</f>
        <v/>
      </c>
    </row>
    <row r="33">
      <c r="B33" t="inlineStr">
        <is>
          <t>Fringe 5990</t>
        </is>
      </c>
      <c r="N33" s="2" t="n">
        <v>2476.07</v>
      </c>
      <c r="O33" s="2" t="n">
        <v>2476.07</v>
      </c>
      <c r="P33" s="2" t="n">
        <v>2476.07</v>
      </c>
      <c r="Q33" s="2" t="n">
        <v>2476.07</v>
      </c>
      <c r="R33" s="2" t="n">
        <v>2476.07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N35" s="2" t="n">
        <v>310960</v>
      </c>
      <c r="O35" s="2" t="n">
        <v>310960</v>
      </c>
      <c r="P35" s="2" t="n">
        <v>310960</v>
      </c>
      <c r="Q35" s="2" t="n">
        <v>310960</v>
      </c>
      <c r="R35" s="2" t="n">
        <v>310960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N41" s="2" t="n">
        <v>8147.15</v>
      </c>
      <c r="O41" s="2" t="n">
        <v>8147.15</v>
      </c>
      <c r="P41" s="2" t="n">
        <v>8147.15</v>
      </c>
      <c r="Q41" s="2" t="n">
        <v>8147.15</v>
      </c>
      <c r="R41" s="2" t="n">
        <v>8147.15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N43" s="2" t="n">
        <v>10647.74</v>
      </c>
      <c r="O43" s="2" t="n">
        <v>10647.74</v>
      </c>
      <c r="P43" s="2" t="n">
        <v>10647.74</v>
      </c>
      <c r="Q43" s="2" t="n">
        <v>10647.74</v>
      </c>
      <c r="R43" s="2" t="n">
        <v>10647.74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N45" s="2" t="n">
        <v>1690000</v>
      </c>
      <c r="AE45" s="10">
        <f>SUM(C45:AD45)</f>
        <v/>
      </c>
    </row>
    <row r="46">
      <c r="B46" t="inlineStr">
        <is>
          <t>Obligated</t>
        </is>
      </c>
      <c r="N46" s="2" t="n">
        <v>1690000</v>
      </c>
      <c r="AE46" s="10">
        <f>SUM(C46:AD46)</f>
        <v/>
      </c>
    </row>
    <row r="47">
      <c r="B47" t="inlineStr">
        <is>
          <t>Expended</t>
        </is>
      </c>
      <c r="O47" s="2" t="n">
        <v>1600000</v>
      </c>
      <c r="P47" s="2" t="n">
        <v>90000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2ADP049</t>
        </is>
      </c>
    </row>
    <row r="4">
      <c r="A4" s="1" t="inlineStr">
        <is>
          <t>ROLLUP #</t>
        </is>
      </c>
      <c r="B4" t="inlineStr">
        <is>
          <t>1049</t>
        </is>
      </c>
    </row>
    <row r="5">
      <c r="A5" s="1" t="inlineStr">
        <is>
          <t>PROJECT NAME</t>
        </is>
      </c>
      <c r="B5" t="inlineStr">
        <is>
          <t>OUSD R nd E M EWD MII Diversity Equity Inclusion nd Accessibility DEIA</t>
        </is>
      </c>
    </row>
    <row r="6">
      <c r="A6" s="1" t="inlineStr">
        <is>
          <t>TECHNICAL POINT OF CONTACT</t>
        </is>
      </c>
      <c r="B6" t="inlineStr">
        <is>
          <t>Charlene Stokes</t>
        </is>
      </c>
    </row>
    <row r="7">
      <c r="A7" s="1" t="inlineStr">
        <is>
          <t>PROJECT TYPE</t>
        </is>
      </c>
      <c r="B7" t="inlineStr">
        <is>
          <t>ADP-EWD, ADP-EWD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CB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3713</v>
      </c>
      <c r="O18" s="2" t="n">
        <v>4314.1</v>
      </c>
      <c r="P18" s="2" t="n">
        <v>619.64</v>
      </c>
      <c r="Q18" s="2" t="n">
        <v>1302.43</v>
      </c>
      <c r="R18" s="2" t="n">
        <v>101.25</v>
      </c>
      <c r="S18" s="2" t="n">
        <v>176.07</v>
      </c>
      <c r="T18" s="2" t="n">
        <v>469.53</v>
      </c>
      <c r="U18" s="2" t="n">
        <v>341.6</v>
      </c>
      <c r="V18" s="2" t="n">
        <v>1814.9</v>
      </c>
      <c r="W18" s="2" t="n">
        <v>7817.21</v>
      </c>
      <c r="X18" s="2" t="n">
        <v>647</v>
      </c>
      <c r="Y18" s="2" t="n">
        <v>937.35</v>
      </c>
      <c r="Z18" s="2" t="n">
        <v>7708.76</v>
      </c>
      <c r="AA18" s="2" t="n">
        <v>16596.79</v>
      </c>
      <c r="AB18" s="2" t="n">
        <v>315.19</v>
      </c>
      <c r="AE18" s="10">
        <f>SUM(C18:AD18)</f>
        <v/>
      </c>
    </row>
    <row r="19">
      <c r="B19" t="inlineStr">
        <is>
          <t>Fringe 5990</t>
        </is>
      </c>
      <c r="N19" s="2" t="n">
        <v>1593.62</v>
      </c>
      <c r="O19" s="2" t="n">
        <v>1953.43</v>
      </c>
      <c r="P19" s="2" t="n">
        <v>280.58</v>
      </c>
      <c r="Q19" s="2" t="n">
        <v>589.75</v>
      </c>
      <c r="R19" s="2" t="n">
        <v>45.85</v>
      </c>
      <c r="S19" s="2" t="n">
        <v>79.72</v>
      </c>
      <c r="T19" s="2" t="n">
        <v>230.81</v>
      </c>
      <c r="U19" s="2" t="n">
        <v>164.3</v>
      </c>
      <c r="V19" s="2" t="n">
        <v>872.97</v>
      </c>
      <c r="W19" s="2" t="n">
        <v>3928.94</v>
      </c>
      <c r="X19" s="2" t="n">
        <v>325.18</v>
      </c>
      <c r="Y19" s="2" t="n">
        <v>471.11</v>
      </c>
      <c r="Z19" s="2" t="n">
        <v>3874.43</v>
      </c>
      <c r="AA19" s="2" t="n">
        <v>8983.84</v>
      </c>
      <c r="AB19" s="2" t="n">
        <v>64.41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R21" s="2" t="n">
        <v>18381.09</v>
      </c>
      <c r="S21" s="2" t="n">
        <v>11496.08</v>
      </c>
      <c r="T21" s="2" t="n">
        <v>14363.94</v>
      </c>
      <c r="U21" s="2" t="n">
        <v>150070.25</v>
      </c>
      <c r="V21" s="2" t="n">
        <v>392089.2</v>
      </c>
      <c r="X21" s="2" t="n">
        <v>301161.15</v>
      </c>
      <c r="Y21" s="2" t="n">
        <v>126846.5</v>
      </c>
      <c r="Z21" s="2" t="n">
        <v>3271.12</v>
      </c>
      <c r="AE21" s="10">
        <f>SUM(C21:AD21)</f>
        <v/>
      </c>
    </row>
    <row r="22">
      <c r="B22" t="inlineStr">
        <is>
          <t>Consulting 5002</t>
        </is>
      </c>
      <c r="Q22" s="2" t="n">
        <v>28500</v>
      </c>
      <c r="R22" s="2" t="n">
        <v>34000</v>
      </c>
      <c r="U22" s="2" t="n">
        <v>5500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P25" s="2" t="n">
        <v>12934</v>
      </c>
      <c r="T25" s="2" t="n">
        <v>10934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R27" s="2" t="n">
        <v>520.1799999999999</v>
      </c>
      <c r="S27" s="2" t="n">
        <v>325.34</v>
      </c>
      <c r="T27" s="2" t="n">
        <v>465.98</v>
      </c>
      <c r="U27" s="2" t="n">
        <v>4592.15</v>
      </c>
      <c r="V27" s="2" t="n">
        <v>11997.93</v>
      </c>
      <c r="X27" s="2" t="n">
        <v>8824.01</v>
      </c>
      <c r="Y27" s="2" t="n">
        <v>3716.6</v>
      </c>
      <c r="Z27" s="2" t="n">
        <v>95.84</v>
      </c>
      <c r="AE27" s="10">
        <f>SUM(C27:AD27)</f>
        <v/>
      </c>
    </row>
    <row r="28">
      <c r="B28" t="inlineStr">
        <is>
          <t>Sub K Overhead 5993</t>
        </is>
      </c>
      <c r="O28" s="2" t="n">
        <v>3892.14</v>
      </c>
      <c r="P28" s="2" t="n">
        <v>-3892.13</v>
      </c>
      <c r="AE28" s="10">
        <f>SUM(C28:AD28)</f>
        <v/>
      </c>
    </row>
    <row r="29">
      <c r="B29" t="inlineStr">
        <is>
          <t>G&amp;A 5991</t>
        </is>
      </c>
      <c r="N29" s="2" t="n">
        <v>6852.97</v>
      </c>
      <c r="P29" s="2" t="n">
        <v>29091.24</v>
      </c>
      <c r="Q29" s="2" t="n">
        <v>43983.55</v>
      </c>
      <c r="R29" s="2" t="n">
        <v>49417.68</v>
      </c>
      <c r="S29" s="2" t="n">
        <v>370.19</v>
      </c>
      <c r="T29" s="2" t="n">
        <v>15252.27</v>
      </c>
      <c r="U29" s="2" t="n">
        <v>7891.16</v>
      </c>
      <c r="V29" s="2" t="n">
        <v>3531.59</v>
      </c>
      <c r="W29" s="2" t="n">
        <v>15597.71</v>
      </c>
      <c r="X29" s="2" t="n">
        <v>1290.96</v>
      </c>
      <c r="Y29" s="2" t="n">
        <v>1870.3</v>
      </c>
      <c r="Z29" s="2" t="n">
        <v>15381.32</v>
      </c>
      <c r="AA29" s="2" t="n">
        <v>34856.17</v>
      </c>
      <c r="AB29" s="2" t="n">
        <v>249.9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N32" s="2" t="n">
        <v>2084</v>
      </c>
      <c r="O32" s="2" t="n">
        <v>6252</v>
      </c>
      <c r="P32" s="2" t="n">
        <v>6252</v>
      </c>
      <c r="Q32" s="2" t="n">
        <v>6252</v>
      </c>
      <c r="R32" s="2" t="n">
        <v>6252</v>
      </c>
      <c r="S32" s="2" t="n">
        <v>6252</v>
      </c>
      <c r="T32" s="2" t="n">
        <v>6252</v>
      </c>
      <c r="U32" s="2" t="n">
        <v>6252</v>
      </c>
      <c r="V32" s="2" t="n">
        <v>6252</v>
      </c>
      <c r="W32" s="2" t="n">
        <v>6252</v>
      </c>
      <c r="X32" s="2" t="n">
        <v>6252</v>
      </c>
      <c r="Y32" s="2" t="n">
        <v>6252</v>
      </c>
      <c r="Z32" s="2" t="n">
        <v>6252</v>
      </c>
      <c r="AA32" s="2" t="n">
        <v>6252</v>
      </c>
      <c r="AE32" s="10">
        <f>SUM(C32:AD32)</f>
        <v/>
      </c>
    </row>
    <row r="33">
      <c r="B33" t="inlineStr">
        <is>
          <t>Fringe 5990</t>
        </is>
      </c>
      <c r="N33" s="2" t="n">
        <v>944</v>
      </c>
      <c r="O33" s="2" t="n">
        <v>2832</v>
      </c>
      <c r="P33" s="2" t="n">
        <v>2832</v>
      </c>
      <c r="Q33" s="2" t="n">
        <v>2832</v>
      </c>
      <c r="R33" s="2" t="n">
        <v>2832</v>
      </c>
      <c r="S33" s="2" t="n">
        <v>2832</v>
      </c>
      <c r="T33" s="2" t="n">
        <v>2832</v>
      </c>
      <c r="U33" s="2" t="n">
        <v>2832</v>
      </c>
      <c r="V33" s="2" t="n">
        <v>2832</v>
      </c>
      <c r="W33" s="2" t="n">
        <v>2832</v>
      </c>
      <c r="X33" s="2" t="n">
        <v>2832</v>
      </c>
      <c r="Y33" s="2" t="n">
        <v>2832</v>
      </c>
      <c r="Z33" s="2" t="n">
        <v>2832</v>
      </c>
      <c r="AA33" s="2" t="n">
        <v>2832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P35" s="2" t="n">
        <v>54370.86</v>
      </c>
      <c r="Q35" s="2" t="n">
        <v>104046.74</v>
      </c>
      <c r="R35" s="2" t="n">
        <v>196230.87</v>
      </c>
      <c r="S35" s="2" t="n">
        <v>282466.07</v>
      </c>
      <c r="T35" s="2" t="n">
        <v>314164.46</v>
      </c>
      <c r="U35" s="2" t="n">
        <v>235027.22</v>
      </c>
      <c r="V35" s="2" t="n">
        <v>290948.31</v>
      </c>
      <c r="W35" s="2" t="n">
        <v>172038.22</v>
      </c>
      <c r="X35" s="2" t="n">
        <v>109791.12</v>
      </c>
      <c r="Y35" s="2" t="n">
        <v>109790.12</v>
      </c>
      <c r="Z35" s="2" t="n">
        <v>30684.12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P41" s="2" t="n">
        <v>1415</v>
      </c>
      <c r="Q41" s="2" t="n">
        <v>2773.7</v>
      </c>
      <c r="R41" s="2" t="n">
        <v>5404.13</v>
      </c>
      <c r="S41" s="2" t="n">
        <v>7851.71</v>
      </c>
      <c r="T41" s="2" t="n">
        <v>8931.049999999999</v>
      </c>
      <c r="U41" s="2" t="n">
        <v>7173.82</v>
      </c>
      <c r="V41" s="2" t="n">
        <v>8805.690000000001</v>
      </c>
      <c r="W41" s="2" t="n">
        <v>5050.95</v>
      </c>
      <c r="X41" s="2" t="n">
        <v>3289.35</v>
      </c>
      <c r="Y41" s="2" t="n">
        <v>3287.35</v>
      </c>
      <c r="Z41" s="2" t="n">
        <v>868.35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N43" s="2" t="n">
        <v>4382</v>
      </c>
      <c r="O43" s="2" t="n">
        <v>13146</v>
      </c>
      <c r="P43" s="2" t="n">
        <v>13146</v>
      </c>
      <c r="Q43" s="2" t="n">
        <v>13146</v>
      </c>
      <c r="R43" s="2" t="n">
        <v>13146</v>
      </c>
      <c r="S43" s="2" t="n">
        <v>13146</v>
      </c>
      <c r="T43" s="2" t="n">
        <v>13146</v>
      </c>
      <c r="U43" s="2" t="n">
        <v>13146</v>
      </c>
      <c r="V43" s="2" t="n">
        <v>13146</v>
      </c>
      <c r="W43" s="2" t="n">
        <v>13146</v>
      </c>
      <c r="X43" s="2" t="n">
        <v>13146</v>
      </c>
      <c r="Y43" s="2" t="n">
        <v>13146</v>
      </c>
      <c r="Z43" s="2" t="n">
        <v>13146</v>
      </c>
      <c r="AA43" s="2" t="n">
        <v>12338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N45" s="2" t="n">
        <v>2250000</v>
      </c>
      <c r="AE45" s="10">
        <f>SUM(C45:AD45)</f>
        <v/>
      </c>
    </row>
    <row r="46">
      <c r="B46" t="inlineStr">
        <is>
          <t>Obligated</t>
        </is>
      </c>
      <c r="N46" s="2" t="n">
        <v>2250000</v>
      </c>
      <c r="AE46" s="10">
        <f>SUM(C46:AD46)</f>
        <v/>
      </c>
    </row>
    <row r="47">
      <c r="B47" t="inlineStr">
        <is>
          <t>Expended</t>
        </is>
      </c>
      <c r="O47" s="2" t="n">
        <v>300000</v>
      </c>
      <c r="P47" s="2" t="n">
        <v>650000</v>
      </c>
      <c r="Q47" s="2" t="n">
        <v>800000</v>
      </c>
      <c r="R47" s="2" t="n">
        <v>200000</v>
      </c>
      <c r="S47" s="2" t="n">
        <v>258000</v>
      </c>
      <c r="T47" s="2" t="n">
        <v>42000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2ADP050</t>
        </is>
      </c>
    </row>
    <row r="4">
      <c r="A4" s="1" t="inlineStr">
        <is>
          <t>ROLLUP #</t>
        </is>
      </c>
      <c r="B4" t="inlineStr">
        <is>
          <t>713096</t>
        </is>
      </c>
    </row>
    <row r="5">
      <c r="A5" s="1" t="inlineStr">
        <is>
          <t>PROJECT NAME</t>
        </is>
      </c>
      <c r="B5" t="inlineStr">
        <is>
          <t>Large Area Additive Manufacturing for Conformal Apertures LAAMCA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CE, CF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P18" s="2" t="n">
        <v>7824.28</v>
      </c>
      <c r="Q18" s="2" t="n">
        <v>14239.5</v>
      </c>
      <c r="R18" s="2" t="n">
        <v>15833.21</v>
      </c>
      <c r="S18" s="2" t="n">
        <v>21098.41</v>
      </c>
      <c r="T18" s="2" t="n">
        <v>10698.73</v>
      </c>
      <c r="U18" s="2" t="n">
        <v>22020.61</v>
      </c>
      <c r="V18" s="2" t="n">
        <v>-1747.26</v>
      </c>
      <c r="AE18" s="10">
        <f>SUM(C18:AD18)</f>
        <v/>
      </c>
    </row>
    <row r="19">
      <c r="B19" t="inlineStr">
        <is>
          <t>Fringe 5990</t>
        </is>
      </c>
      <c r="P19" s="2" t="n">
        <v>3542.83</v>
      </c>
      <c r="Q19" s="2" t="n">
        <v>6447.64</v>
      </c>
      <c r="R19" s="2" t="n">
        <v>7169.27</v>
      </c>
      <c r="S19" s="2" t="n">
        <v>9553.360000000001</v>
      </c>
      <c r="T19" s="2" t="n">
        <v>5741.06</v>
      </c>
      <c r="U19" s="2" t="n">
        <v>10591.92</v>
      </c>
      <c r="V19" s="2" t="n">
        <v>-840.4299999999999</v>
      </c>
      <c r="AE19" s="10">
        <f>SUM(C19:AD19)</f>
        <v/>
      </c>
    </row>
    <row r="20">
      <c r="B20" t="inlineStr">
        <is>
          <t>Travel 5004</t>
        </is>
      </c>
      <c r="R20" s="2" t="n">
        <v>9.1</v>
      </c>
      <c r="U20" s="2" t="n">
        <v>2632.94</v>
      </c>
      <c r="AE20" s="10">
        <f>SUM(C20:AD20)</f>
        <v/>
      </c>
    </row>
    <row r="21">
      <c r="B21" t="inlineStr">
        <is>
          <t>Subcontracting 5005</t>
        </is>
      </c>
      <c r="P21" s="2" t="n">
        <v>31106.79</v>
      </c>
      <c r="Q21" s="2" t="n">
        <v>58957.79</v>
      </c>
      <c r="R21" s="2" t="n">
        <v>190180.78</v>
      </c>
      <c r="S21" s="2" t="n">
        <v>117176.03</v>
      </c>
      <c r="T21" s="2" t="n">
        <v>76525.72</v>
      </c>
      <c r="U21" s="2" t="n">
        <v>49067.87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R25" s="2" t="n">
        <v>4280.76</v>
      </c>
      <c r="S25" s="2" t="n">
        <v>8946.290000000001</v>
      </c>
      <c r="T25" s="2" t="n">
        <v>10275.33</v>
      </c>
      <c r="U25" s="2" t="n">
        <v>179.9</v>
      </c>
      <c r="V25" s="2" t="n">
        <v>36225</v>
      </c>
      <c r="AE25" s="10">
        <f>SUM(C25:AD25)</f>
        <v/>
      </c>
    </row>
    <row r="26">
      <c r="B26" t="inlineStr">
        <is>
          <t>Material 5003</t>
        </is>
      </c>
      <c r="P26" s="2" t="n">
        <v>118.92</v>
      </c>
      <c r="Q26" s="2" t="n">
        <v>3178.17</v>
      </c>
      <c r="R26" s="2" t="n">
        <v>455.26</v>
      </c>
      <c r="S26" s="2" t="n">
        <v>1728.18</v>
      </c>
      <c r="T26" s="2" t="n">
        <v>1165.37</v>
      </c>
      <c r="U26" s="2" t="n">
        <v>547.76</v>
      </c>
      <c r="AE26" s="10">
        <f>SUM(C26:AD26)</f>
        <v/>
      </c>
    </row>
    <row r="27">
      <c r="B27" t="inlineStr">
        <is>
          <t>Sub K Overhead 5992</t>
        </is>
      </c>
      <c r="P27" s="2" t="n">
        <v>880.3200000000001</v>
      </c>
      <c r="Q27" s="2" t="n">
        <v>1668.5</v>
      </c>
      <c r="R27" s="2" t="n">
        <v>5382.12</v>
      </c>
      <c r="S27" s="2" t="n">
        <v>3316.08</v>
      </c>
      <c r="T27" s="2" t="n">
        <v>2611.19</v>
      </c>
      <c r="U27" s="2" t="n">
        <v>1501.48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P29" s="2" t="n">
        <v>16622.58</v>
      </c>
      <c r="Q29" s="2" t="n">
        <v>34537.89</v>
      </c>
      <c r="R29" s="2" t="n">
        <v>40156.34</v>
      </c>
      <c r="S29" s="2" t="n">
        <v>59807.32</v>
      </c>
      <c r="T29" s="2" t="n">
        <v>31123.39</v>
      </c>
      <c r="U29" s="2" t="n">
        <v>47265.09</v>
      </c>
      <c r="V29" s="2" t="n">
        <v>44196.06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Q32" s="2" t="n">
        <v>11567.73</v>
      </c>
      <c r="R32" s="2" t="n">
        <v>11295.03</v>
      </c>
      <c r="S32" s="2" t="n">
        <v>11295.03</v>
      </c>
      <c r="T32" s="2" t="n">
        <v>14712.69</v>
      </c>
      <c r="U32" s="2" t="n">
        <v>14480.49</v>
      </c>
      <c r="V32" s="2" t="n">
        <v>14100.84</v>
      </c>
      <c r="AE32" s="10">
        <f>SUM(C32:AD32)</f>
        <v/>
      </c>
    </row>
    <row r="33">
      <c r="B33" t="inlineStr">
        <is>
          <t>Fringe 5990</t>
        </is>
      </c>
      <c r="Q33" s="2" t="n">
        <v>5237.55</v>
      </c>
      <c r="R33" s="2" t="n">
        <v>5114.1</v>
      </c>
      <c r="S33" s="2" t="n">
        <v>5114.1</v>
      </c>
      <c r="T33" s="2" t="n">
        <v>6661.53</v>
      </c>
      <c r="U33" s="2" t="n">
        <v>6556.38</v>
      </c>
      <c r="V33" s="2" t="n">
        <v>6384.48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Q35" s="2" t="n">
        <v>90211.08</v>
      </c>
      <c r="R35" s="2" t="n">
        <v>151929.51</v>
      </c>
      <c r="S35" s="2" t="n">
        <v>183176.97</v>
      </c>
      <c r="T35" s="2" t="n">
        <v>151047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Q39" s="2" t="n">
        <v>12500.01</v>
      </c>
      <c r="R39" s="2" t="n">
        <v>12500.01</v>
      </c>
      <c r="S39" s="2" t="n">
        <v>12500.01</v>
      </c>
      <c r="T39" s="2" t="n">
        <v>12500.01</v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Q41" s="2" t="n">
        <v>2552.97</v>
      </c>
      <c r="R41" s="2" t="n">
        <v>4299.6</v>
      </c>
      <c r="S41" s="2" t="n">
        <v>5183.91</v>
      </c>
      <c r="T41" s="2" t="n">
        <v>4274.64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Q43" s="2" t="n">
        <v>46105.26</v>
      </c>
      <c r="R43" s="2" t="n">
        <v>48059.7</v>
      </c>
      <c r="S43" s="2" t="n">
        <v>49339.44</v>
      </c>
      <c r="T43" s="2" t="n">
        <v>55209</v>
      </c>
      <c r="U43" s="2" t="n">
        <v>30444.57</v>
      </c>
      <c r="V43" s="2" t="n">
        <v>29646.36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N45" s="2" t="n">
        <v>14000</v>
      </c>
      <c r="Q45" s="2" t="n">
        <v>1000000</v>
      </c>
      <c r="AE45" s="10">
        <f>SUM(C45:AD45)</f>
        <v/>
      </c>
    </row>
    <row r="46">
      <c r="B46" t="inlineStr">
        <is>
          <t>Obligated</t>
        </is>
      </c>
      <c r="N46" s="2" t="n">
        <v>14000</v>
      </c>
      <c r="Q46" s="2" t="n">
        <v>1000000</v>
      </c>
      <c r="AE46" s="10">
        <f>SUM(C46:AD46)</f>
        <v/>
      </c>
    </row>
    <row r="47">
      <c r="B47" t="inlineStr">
        <is>
          <t>Expended</t>
        </is>
      </c>
      <c r="P47" s="2" t="n">
        <v>514000</v>
      </c>
      <c r="Q47" s="2" t="n">
        <v>300000</v>
      </c>
      <c r="T47" s="2" t="n">
        <v>200000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2ADP051</t>
        </is>
      </c>
    </row>
    <row r="4">
      <c r="A4" s="1" t="inlineStr">
        <is>
          <t>ROLLUP #</t>
        </is>
      </c>
      <c r="B4" t="inlineStr">
        <is>
          <t>713101</t>
        </is>
      </c>
    </row>
    <row r="5">
      <c r="A5" s="1" t="inlineStr">
        <is>
          <t>PROJECT NAME</t>
        </is>
      </c>
      <c r="B5" t="inlineStr">
        <is>
          <t>Materials Enablers for Advanced Manufacturing of Attritable Fuel Cells</t>
        </is>
      </c>
    </row>
    <row r="6">
      <c r="A6" s="1" t="inlineStr">
        <is>
          <t>TECHNICAL POINT OF CONTACT</t>
        </is>
      </c>
      <c r="B6" t="inlineStr">
        <is>
          <t>Michele Anderson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Navy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CL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P18" s="2" t="n">
        <v>6539.34</v>
      </c>
      <c r="Q18" s="2" t="n">
        <v>6545.93</v>
      </c>
      <c r="R18" s="2" t="n">
        <v>7090.41</v>
      </c>
      <c r="S18" s="2" t="n">
        <v>5734.68</v>
      </c>
      <c r="T18" s="2" t="n">
        <v>5014.73</v>
      </c>
      <c r="U18" s="2" t="n">
        <v>6945</v>
      </c>
      <c r="V18" s="2" t="n">
        <v>-1126.94</v>
      </c>
      <c r="AE18" s="10">
        <f>SUM(C18:AD18)</f>
        <v/>
      </c>
    </row>
    <row r="19">
      <c r="B19" t="inlineStr">
        <is>
          <t>Fringe 5990</t>
        </is>
      </c>
      <c r="P19" s="2" t="n">
        <v>2961.01</v>
      </c>
      <c r="Q19" s="2" t="n">
        <v>970.8</v>
      </c>
      <c r="R19" s="2" t="n">
        <v>3210.53</v>
      </c>
      <c r="S19" s="2" t="n">
        <v>2596.66</v>
      </c>
      <c r="T19" s="2" t="n">
        <v>2573.81</v>
      </c>
      <c r="U19" s="2" t="n">
        <v>3340.54</v>
      </c>
      <c r="V19" s="2" t="n">
        <v>-542.05</v>
      </c>
      <c r="AE19" s="10">
        <f>SUM(C19:AD19)</f>
        <v/>
      </c>
    </row>
    <row r="20">
      <c r="B20" t="inlineStr">
        <is>
          <t>Travel 5004</t>
        </is>
      </c>
      <c r="U20" s="2" t="n">
        <v>1094.27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Q25" s="2" t="n">
        <v>600</v>
      </c>
      <c r="R25" s="2" t="n">
        <v>353.17</v>
      </c>
      <c r="S25" s="2" t="n">
        <v>50.65</v>
      </c>
      <c r="T25" s="2" t="n">
        <v>34.37</v>
      </c>
      <c r="U25" s="2" t="n">
        <v>29.64</v>
      </c>
      <c r="AE25" s="10">
        <f>SUM(C25:AD25)</f>
        <v/>
      </c>
    </row>
    <row r="26">
      <c r="B26" t="inlineStr">
        <is>
          <t>Material 5003</t>
        </is>
      </c>
      <c r="T26" s="2" t="n">
        <v>537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P29" s="2" t="n">
        <v>13748.91</v>
      </c>
      <c r="Q29" s="2" t="n">
        <v>11746.53</v>
      </c>
      <c r="R29" s="2" t="n">
        <v>15418.65</v>
      </c>
      <c r="S29" s="2" t="n">
        <v>12130.4</v>
      </c>
      <c r="T29" s="2" t="n">
        <v>9603.98</v>
      </c>
      <c r="U29" s="2" t="n">
        <v>14990.88</v>
      </c>
      <c r="V29" s="2" t="n">
        <v>-2192.88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N45" s="2" t="n">
        <v>130000</v>
      </c>
      <c r="AE45" s="10">
        <f>SUM(C45:AD45)</f>
        <v/>
      </c>
    </row>
    <row r="46">
      <c r="B46" t="inlineStr">
        <is>
          <t>Obligated</t>
        </is>
      </c>
      <c r="N46" s="2" t="n">
        <v>130000</v>
      </c>
      <c r="AE46" s="10">
        <f>SUM(C46:AD46)</f>
        <v/>
      </c>
    </row>
    <row r="47">
      <c r="B47" t="inlineStr">
        <is>
          <t>Expended</t>
        </is>
      </c>
      <c r="Q47" s="2" t="n">
        <v>130000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2ADP052</t>
        </is>
      </c>
    </row>
    <row r="4">
      <c r="A4" s="1" t="inlineStr">
        <is>
          <t>ROLLUP #</t>
        </is>
      </c>
      <c r="B4" t="inlineStr">
        <is>
          <t>713094</t>
        </is>
      </c>
    </row>
    <row r="5">
      <c r="A5" s="1" t="inlineStr">
        <is>
          <t>PROJECT NAME</t>
        </is>
      </c>
      <c r="B5" t="inlineStr">
        <is>
          <t>Innovation Capacity Building for TSA Ph4 nd Matls Process Database</t>
        </is>
      </c>
    </row>
    <row r="6">
      <c r="A6" s="1" t="inlineStr">
        <is>
          <t>TECHNICAL POINT OF CONTACT</t>
        </is>
      </c>
      <c r="B6" t="inlineStr">
        <is>
          <t>Andrew Haskins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Gov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CC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126.33</v>
      </c>
      <c r="P18" s="2" t="n">
        <v>232.83</v>
      </c>
      <c r="R18" s="2" t="n">
        <v>6274.85</v>
      </c>
      <c r="AE18" s="10">
        <f>SUM(C18:AD18)</f>
        <v/>
      </c>
    </row>
    <row r="19">
      <c r="B19" t="inlineStr">
        <is>
          <t>Fringe 5990</t>
        </is>
      </c>
      <c r="N19" s="2" t="n">
        <v>54.22</v>
      </c>
      <c r="P19" s="2" t="n">
        <v>105.43</v>
      </c>
      <c r="R19" s="2" t="n">
        <v>2841.25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N21" s="2" t="n">
        <v>78824.07000000001</v>
      </c>
      <c r="O21" s="2" t="n">
        <v>457019.42</v>
      </c>
      <c r="P21" s="2" t="n">
        <v>150939.79</v>
      </c>
      <c r="Q21" s="2" t="n">
        <v>233216.72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R25" s="2" t="n">
        <v>12495.6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N27" s="2" t="n">
        <v>2065.19</v>
      </c>
      <c r="O27" s="2" t="n">
        <v>12933.65</v>
      </c>
      <c r="P27" s="2" t="n">
        <v>4271.59</v>
      </c>
      <c r="Q27" s="2" t="n">
        <v>6600.04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233.16</v>
      </c>
      <c r="P29" s="2" t="n">
        <v>489.52</v>
      </c>
      <c r="R29" s="2" t="n">
        <v>31276.33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N32" s="2" t="n">
        <v>1235.33</v>
      </c>
      <c r="O32" s="2" t="n">
        <v>3764.81</v>
      </c>
      <c r="P32" s="2" t="n">
        <v>3937.58</v>
      </c>
      <c r="Q32" s="2" t="n">
        <v>3586.91</v>
      </c>
      <c r="R32" s="2" t="n">
        <v>2665.05</v>
      </c>
      <c r="AE32" s="10">
        <f>SUM(C32:AD32)</f>
        <v/>
      </c>
    </row>
    <row r="33">
      <c r="B33" t="inlineStr">
        <is>
          <t>Fringe 5990</t>
        </is>
      </c>
      <c r="N33" s="2" t="n">
        <v>559.33</v>
      </c>
      <c r="O33" s="2" t="n">
        <v>1704.66</v>
      </c>
      <c r="P33" s="2" t="n">
        <v>1783</v>
      </c>
      <c r="Q33" s="2" t="n">
        <v>1624.25</v>
      </c>
      <c r="R33" s="2" t="n">
        <v>1206.75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N35" s="2" t="n">
        <v>76061</v>
      </c>
      <c r="O35" s="2" t="n">
        <v>228747.05</v>
      </c>
      <c r="P35" s="2" t="n">
        <v>230425.43</v>
      </c>
      <c r="Q35" s="2" t="n">
        <v>211954.55</v>
      </c>
      <c r="R35" s="2" t="n">
        <v>172811.67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N41" s="2" t="n">
        <v>2152.67</v>
      </c>
      <c r="O41" s="2" t="n">
        <v>6473.67</v>
      </c>
      <c r="P41" s="2" t="n">
        <v>6520.66</v>
      </c>
      <c r="Q41" s="2" t="n">
        <v>5998.25</v>
      </c>
      <c r="R41" s="2" t="n">
        <v>4890.75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N43" s="2" t="n">
        <v>2597.33</v>
      </c>
      <c r="O43" s="2" t="n">
        <v>7915.66</v>
      </c>
      <c r="P43" s="2" t="n">
        <v>8278.84</v>
      </c>
      <c r="Q43" s="2" t="n">
        <v>7531.42</v>
      </c>
      <c r="R43" s="2" t="n">
        <v>5573.22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N45" s="2" t="n">
        <v>1000000</v>
      </c>
      <c r="AE45" s="10">
        <f>SUM(C45:AD45)</f>
        <v/>
      </c>
    </row>
    <row r="46">
      <c r="B46" t="inlineStr">
        <is>
          <t>Obligated</t>
        </is>
      </c>
      <c r="N46" s="2" t="n">
        <v>1000000</v>
      </c>
      <c r="AE46" s="10">
        <f>SUM(C46:AD46)</f>
        <v/>
      </c>
    </row>
    <row r="47">
      <c r="B47" t="inlineStr">
        <is>
          <t>Expended</t>
        </is>
      </c>
      <c r="O47" s="2" t="n">
        <v>300000</v>
      </c>
      <c r="P47" s="2" t="n">
        <v>700000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2ADP053</t>
        </is>
      </c>
    </row>
    <row r="4">
      <c r="A4" s="1" t="inlineStr">
        <is>
          <t>ROLLUP #</t>
        </is>
      </c>
      <c r="B4" t="inlineStr">
        <is>
          <t>713095</t>
        </is>
      </c>
    </row>
    <row r="5">
      <c r="A5" s="1" t="inlineStr">
        <is>
          <t>PROJECT NAME</t>
        </is>
      </c>
      <c r="B5" t="inlineStr">
        <is>
          <t>FY22 Soldier Authentication Project Prototype D Serial Update</t>
        </is>
      </c>
    </row>
    <row r="6">
      <c r="A6" s="1" t="inlineStr">
        <is>
          <t>TECHNICAL POINT OF CONTACT</t>
        </is>
      </c>
      <c r="B6" t="inlineStr">
        <is>
          <t>Ogedi C Okwudishu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CD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313.7</v>
      </c>
      <c r="O18" s="2" t="n">
        <v>23448.72</v>
      </c>
      <c r="AE18" s="10">
        <f>SUM(C18:AD18)</f>
        <v/>
      </c>
    </row>
    <row r="19">
      <c r="B19" t="inlineStr">
        <is>
          <t>Fringe 5990</t>
        </is>
      </c>
      <c r="N19" s="2" t="n">
        <v>134.64</v>
      </c>
      <c r="O19" s="2" t="n">
        <v>10617.58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578.99</v>
      </c>
      <c r="O29" s="2" t="n">
        <v>49300.75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N32" s="2" t="n">
        <v>1908.47</v>
      </c>
      <c r="O32" s="2" t="n">
        <v>1908.47</v>
      </c>
      <c r="P32" s="2" t="n">
        <v>1908.47</v>
      </c>
      <c r="Q32" s="2" t="n">
        <v>1908.47</v>
      </c>
      <c r="R32" s="2" t="n">
        <v>1908.47</v>
      </c>
      <c r="S32" s="2" t="n">
        <v>1908.47</v>
      </c>
      <c r="T32" s="2" t="n">
        <v>1908.47</v>
      </c>
      <c r="U32" s="2" t="n">
        <v>1908.47</v>
      </c>
      <c r="AE32" s="10">
        <f>SUM(C32:AD32)</f>
        <v/>
      </c>
    </row>
    <row r="33">
      <c r="B33" t="inlineStr">
        <is>
          <t>Fringe 5990</t>
        </is>
      </c>
      <c r="N33" s="2" t="n">
        <v>819.12</v>
      </c>
      <c r="O33" s="2" t="n">
        <v>819.12</v>
      </c>
      <c r="P33" s="2" t="n">
        <v>819.12</v>
      </c>
      <c r="Q33" s="2" t="n">
        <v>819.12</v>
      </c>
      <c r="R33" s="2" t="n">
        <v>819.12</v>
      </c>
      <c r="S33" s="2" t="n">
        <v>819.12</v>
      </c>
      <c r="T33" s="2" t="n">
        <v>819.12</v>
      </c>
      <c r="U33" s="2" t="n">
        <v>819.12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N43" s="2" t="n">
        <v>3522.41</v>
      </c>
      <c r="O43" s="2" t="n">
        <v>3522.41</v>
      </c>
      <c r="P43" s="2" t="n">
        <v>3522.41</v>
      </c>
      <c r="Q43" s="2" t="n">
        <v>3522.41</v>
      </c>
      <c r="R43" s="2" t="n">
        <v>3522.41</v>
      </c>
      <c r="S43" s="2" t="n">
        <v>3522.41</v>
      </c>
      <c r="T43" s="2" t="n">
        <v>3522.41</v>
      </c>
      <c r="U43" s="2" t="n">
        <v>3522.41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O45" s="2" t="n">
        <v>50000</v>
      </c>
      <c r="AE45" s="10">
        <f>SUM(C45:AD45)</f>
        <v/>
      </c>
    </row>
    <row r="46">
      <c r="B46" t="inlineStr">
        <is>
          <t>Obligated</t>
        </is>
      </c>
      <c r="O46" s="2" t="n">
        <v>50000</v>
      </c>
      <c r="AE46" s="10">
        <f>SUM(C46:AD46)</f>
        <v/>
      </c>
    </row>
    <row r="47">
      <c r="B47" t="inlineStr">
        <is>
          <t>Expended</t>
        </is>
      </c>
      <c r="O47" s="2" t="n">
        <v>50000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2ADP054</t>
        </is>
      </c>
    </row>
    <row r="4">
      <c r="A4" s="1" t="inlineStr">
        <is>
          <t>ROLLUP #</t>
        </is>
      </c>
      <c r="B4" t="inlineStr">
        <is>
          <t>1054</t>
        </is>
      </c>
    </row>
    <row r="5">
      <c r="A5" s="1" t="inlineStr">
        <is>
          <t>PROJECT NAME</t>
        </is>
      </c>
      <c r="B5" t="inlineStr">
        <is>
          <t>Printed Electronics Energetics Materials nd sensors PEEMS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CG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O18" s="2" t="n">
        <v>31972</v>
      </c>
      <c r="P18" s="2" t="n">
        <v>27297.35</v>
      </c>
      <c r="Q18" s="2" t="n">
        <v>74.91</v>
      </c>
      <c r="R18" s="2" t="n">
        <v>-5531.75</v>
      </c>
      <c r="S18" s="2" t="n">
        <v>58.62</v>
      </c>
      <c r="T18" s="2" t="n">
        <v>113.97</v>
      </c>
      <c r="AE18" s="10">
        <f>SUM(C18:AD18)</f>
        <v/>
      </c>
    </row>
    <row r="19">
      <c r="B19" t="inlineStr">
        <is>
          <t>Fringe 5990</t>
        </is>
      </c>
      <c r="O19" s="2" t="n">
        <v>14476.94</v>
      </c>
      <c r="P19" s="2" t="n">
        <v>12360.23</v>
      </c>
      <c r="Q19" s="2" t="n">
        <v>33.92</v>
      </c>
      <c r="R19" s="2" t="n">
        <v>-2504.78</v>
      </c>
      <c r="S19" s="2" t="n">
        <v>26.54</v>
      </c>
      <c r="T19" s="2" t="n">
        <v>56.47</v>
      </c>
      <c r="AE19" s="10">
        <f>SUM(C19:AD19)</f>
        <v/>
      </c>
    </row>
    <row r="20">
      <c r="B20" t="inlineStr">
        <is>
          <t>Travel 5004</t>
        </is>
      </c>
      <c r="P20" s="2" t="n">
        <v>229.34</v>
      </c>
      <c r="AE20" s="10">
        <f>SUM(C20:AD20)</f>
        <v/>
      </c>
    </row>
    <row r="21">
      <c r="B21" t="inlineStr">
        <is>
          <t>Subcontracting 5005</t>
        </is>
      </c>
      <c r="R21" s="2" t="n">
        <v>1837984.22</v>
      </c>
      <c r="S21" s="2" t="n">
        <v>384642.78</v>
      </c>
      <c r="T21" s="2" t="n">
        <v>796857.1899999999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O25" s="2" t="n">
        <v>152</v>
      </c>
      <c r="AE25" s="10">
        <f>SUM(C25:AD25)</f>
        <v/>
      </c>
    </row>
    <row r="26">
      <c r="B26" t="inlineStr">
        <is>
          <t>Material 5003</t>
        </is>
      </c>
      <c r="O26" s="2" t="n">
        <v>1381.23</v>
      </c>
      <c r="P26" s="2" t="n">
        <v>103.01</v>
      </c>
      <c r="R26" s="2" t="n">
        <v>60.2</v>
      </c>
      <c r="AE26" s="10">
        <f>SUM(C26:AD26)</f>
        <v/>
      </c>
    </row>
    <row r="27">
      <c r="B27" t="inlineStr">
        <is>
          <t>Sub K Overhead 5992</t>
        </is>
      </c>
      <c r="R27" s="2" t="n">
        <v>52014.95</v>
      </c>
      <c r="S27" s="2" t="n">
        <v>10885.39</v>
      </c>
      <c r="T27" s="2" t="n">
        <v>25268.51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O29" s="2" t="n">
        <v>69439.77</v>
      </c>
      <c r="P29" s="2" t="n">
        <v>57873.45</v>
      </c>
      <c r="Q29" s="2" t="n">
        <v>157.5</v>
      </c>
      <c r="R29" s="2" t="n">
        <v>-11543.09</v>
      </c>
      <c r="S29" s="2" t="n">
        <v>123.25</v>
      </c>
      <c r="T29" s="2" t="n">
        <v>212.59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O32" s="2" t="n">
        <v>6902</v>
      </c>
      <c r="P32" s="2" t="n">
        <v>6903</v>
      </c>
      <c r="Q32" s="2" t="n">
        <v>6903</v>
      </c>
      <c r="R32" s="2" t="n">
        <v>6907</v>
      </c>
      <c r="S32" s="2" t="n">
        <v>4602</v>
      </c>
      <c r="AE32" s="10">
        <f>SUM(C32:AD32)</f>
        <v/>
      </c>
    </row>
    <row r="33">
      <c r="B33" t="inlineStr">
        <is>
          <t>Fringe 5990</t>
        </is>
      </c>
      <c r="O33" s="2" t="n">
        <v>3126</v>
      </c>
      <c r="P33" s="2" t="n">
        <v>3126</v>
      </c>
      <c r="Q33" s="2" t="n">
        <v>3126</v>
      </c>
      <c r="R33" s="2" t="n">
        <v>3128</v>
      </c>
      <c r="S33" s="2" t="n">
        <v>2082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O35" s="2" t="n">
        <v>1304725</v>
      </c>
      <c r="P35" s="2" t="n">
        <v>556327</v>
      </c>
      <c r="Q35" s="2" t="n">
        <v>557038</v>
      </c>
      <c r="R35" s="2" t="n">
        <v>633034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O41" s="2" t="n">
        <v>36924</v>
      </c>
      <c r="P41" s="2" t="n">
        <v>15744</v>
      </c>
      <c r="Q41" s="2" t="n">
        <v>15764</v>
      </c>
      <c r="R41" s="2" t="n">
        <v>17916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O43" s="2" t="n">
        <v>14514</v>
      </c>
      <c r="P43" s="2" t="n">
        <v>14514</v>
      </c>
      <c r="Q43" s="2" t="n">
        <v>14511</v>
      </c>
      <c r="R43" s="2" t="n">
        <v>14512</v>
      </c>
      <c r="S43" s="2" t="n">
        <v>9672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O45" s="2" t="n">
        <v>3252000</v>
      </c>
      <c r="AE45" s="10">
        <f>SUM(C45:AD45)</f>
        <v/>
      </c>
    </row>
    <row r="46">
      <c r="B46" t="inlineStr">
        <is>
          <t>Obligated</t>
        </is>
      </c>
      <c r="O46" s="2" t="n">
        <v>3252000</v>
      </c>
      <c r="AE46" s="10">
        <f>SUM(C46:AD46)</f>
        <v/>
      </c>
    </row>
    <row r="47">
      <c r="B47" t="inlineStr">
        <is>
          <t>Expended</t>
        </is>
      </c>
      <c r="P47" s="2" t="n">
        <v>1084000</v>
      </c>
      <c r="Q47" s="2" t="n">
        <v>1500000</v>
      </c>
      <c r="R47" s="2" t="n">
        <v>668000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2ADP055</t>
        </is>
      </c>
    </row>
    <row r="4">
      <c r="A4" s="1" t="inlineStr">
        <is>
          <t>ROLLUP #</t>
        </is>
      </c>
      <c r="B4" t="inlineStr">
        <is>
          <t>1055</t>
        </is>
      </c>
    </row>
    <row r="5">
      <c r="A5" s="1" t="inlineStr">
        <is>
          <t>PROJECT NAME</t>
        </is>
      </c>
      <c r="B5" t="inlineStr">
        <is>
          <t>NASIC T2 Program Part IV</t>
        </is>
      </c>
    </row>
    <row r="6">
      <c r="A6" s="1" t="inlineStr">
        <is>
          <t>TECHNICAL POINT OF CONTACT</t>
        </is>
      </c>
      <c r="B6" t="inlineStr">
        <is>
          <t>Timothy Deedy</t>
        </is>
      </c>
    </row>
    <row r="7">
      <c r="A7" s="1" t="inlineStr">
        <is>
          <t>PROJECT TYPE</t>
        </is>
      </c>
      <c r="B7" t="inlineStr">
        <is>
          <t>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CH, CJ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O18" s="2" t="n">
        <v>922.55</v>
      </c>
      <c r="P18" s="2" t="n">
        <v>2471.13</v>
      </c>
      <c r="Q18" s="2" t="n">
        <v>2111.82</v>
      </c>
      <c r="R18" s="2" t="n">
        <v>1954.85</v>
      </c>
      <c r="S18" s="2" t="n">
        <v>1912.07</v>
      </c>
      <c r="T18" s="2" t="n">
        <v>1335.57</v>
      </c>
      <c r="U18" s="2" t="n">
        <v>3432.43</v>
      </c>
      <c r="V18" s="2" t="n">
        <v>1701.82</v>
      </c>
      <c r="Y18" s="2" t="n">
        <v>3168.51</v>
      </c>
      <c r="Z18" s="2" t="n">
        <v>23199.9</v>
      </c>
      <c r="AE18" s="10">
        <f>SUM(C18:AD18)</f>
        <v/>
      </c>
    </row>
    <row r="19">
      <c r="B19" t="inlineStr">
        <is>
          <t>Fringe 5990</t>
        </is>
      </c>
      <c r="O19" s="2" t="n">
        <v>417.73</v>
      </c>
      <c r="P19" s="2" t="n">
        <v>1118.93</v>
      </c>
      <c r="Q19" s="2" t="n">
        <v>956.23</v>
      </c>
      <c r="R19" s="2" t="n">
        <v>885.15</v>
      </c>
      <c r="S19" s="2" t="n">
        <v>865.78</v>
      </c>
      <c r="T19" s="2" t="n">
        <v>696.33</v>
      </c>
      <c r="U19" s="2" t="n">
        <v>1651</v>
      </c>
      <c r="V19" s="2" t="n">
        <v>818.5700000000001</v>
      </c>
      <c r="Y19" s="2" t="n">
        <v>1592.49</v>
      </c>
      <c r="Z19" s="2" t="n">
        <v>11660.27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P21" s="2" t="n">
        <v>331522</v>
      </c>
      <c r="Q21" s="2" t="n">
        <v>702068</v>
      </c>
      <c r="R21" s="2" t="n">
        <v>597153.34</v>
      </c>
      <c r="S21" s="2" t="n">
        <v>389114.77</v>
      </c>
      <c r="T21" s="2" t="n">
        <v>245728.25</v>
      </c>
      <c r="U21" s="2" t="n">
        <v>61804.8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Z25" s="2" t="n">
        <v>36.3</v>
      </c>
      <c r="AE25" s="10">
        <f>SUM(C25:AD25)</f>
        <v/>
      </c>
    </row>
    <row r="26">
      <c r="B26" t="inlineStr">
        <is>
          <t>Material 5003</t>
        </is>
      </c>
      <c r="Y26" s="2" t="n">
        <v>336.96</v>
      </c>
      <c r="AE26" s="10">
        <f>SUM(C26:AD26)</f>
        <v/>
      </c>
    </row>
    <row r="27">
      <c r="B27" t="inlineStr">
        <is>
          <t>Sub K Overhead 5992</t>
        </is>
      </c>
      <c r="P27" s="2" t="n">
        <v>9382.08</v>
      </c>
      <c r="Q27" s="2" t="n">
        <v>19868.53</v>
      </c>
      <c r="R27" s="2" t="n">
        <v>16899.44</v>
      </c>
      <c r="S27" s="2" t="n">
        <v>11011.95</v>
      </c>
      <c r="T27" s="2" t="n">
        <v>8414.25</v>
      </c>
      <c r="U27" s="2" t="n">
        <v>1891.23</v>
      </c>
      <c r="Y27" s="2" t="n">
        <v>395.87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O29" s="2" t="n">
        <v>1939.65</v>
      </c>
      <c r="P29" s="2" t="n">
        <v>5195.54</v>
      </c>
      <c r="Q29" s="2" t="n">
        <v>4440.08</v>
      </c>
      <c r="R29" s="2" t="n">
        <v>4110.06</v>
      </c>
      <c r="S29" s="2" t="n">
        <v>4020.09</v>
      </c>
      <c r="T29" s="2" t="n">
        <v>2299.42</v>
      </c>
      <c r="U29" s="2" t="n">
        <v>6679.12</v>
      </c>
      <c r="V29" s="2" t="n">
        <v>3311.55</v>
      </c>
      <c r="Y29" s="2" t="n">
        <v>6769.58</v>
      </c>
      <c r="Z29" s="2" t="n">
        <v>46339.02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L32" s="2" t="n">
        <v>2000</v>
      </c>
      <c r="O32" s="2" t="n">
        <v>4000</v>
      </c>
      <c r="P32" s="2" t="n">
        <v>4000</v>
      </c>
      <c r="Q32" s="2" t="n">
        <v>6000</v>
      </c>
      <c r="R32" s="2" t="n">
        <v>9000</v>
      </c>
      <c r="S32" s="2" t="n">
        <v>9000</v>
      </c>
      <c r="T32" s="2" t="n">
        <v>8718.719999999999</v>
      </c>
      <c r="AE32" s="10">
        <f>SUM(C32:AD32)</f>
        <v/>
      </c>
    </row>
    <row r="33">
      <c r="B33" t="inlineStr">
        <is>
          <t>Fringe 5990</t>
        </is>
      </c>
      <c r="L33" s="2" t="n">
        <v>962</v>
      </c>
      <c r="O33" s="2" t="n">
        <v>1924</v>
      </c>
      <c r="P33" s="2" t="n">
        <v>1924</v>
      </c>
      <c r="Q33" s="2" t="n">
        <v>2886</v>
      </c>
      <c r="R33" s="2" t="n">
        <v>4329</v>
      </c>
      <c r="S33" s="2" t="n">
        <v>4329</v>
      </c>
      <c r="T33" s="2" t="n">
        <v>4193.7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L35" s="2" t="n">
        <v>130846.05</v>
      </c>
      <c r="O35" s="2" t="n">
        <v>261692.1</v>
      </c>
      <c r="P35" s="2" t="n">
        <v>261692.1</v>
      </c>
      <c r="Q35" s="2" t="n">
        <v>392538.15</v>
      </c>
      <c r="R35" s="2" t="n">
        <v>392538.15</v>
      </c>
      <c r="S35" s="2" t="n">
        <v>454343.25</v>
      </c>
      <c r="T35" s="2" t="n">
        <v>433741.55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L41" s="2" t="n">
        <v>4543.43</v>
      </c>
      <c r="O41" s="2" t="n">
        <v>9086.860000000001</v>
      </c>
      <c r="P41" s="2" t="n">
        <v>9147.809999999999</v>
      </c>
      <c r="Q41" s="2" t="n">
        <v>11776.14</v>
      </c>
      <c r="R41" s="2" t="n">
        <v>11776.14</v>
      </c>
      <c r="S41" s="2" t="n">
        <v>11776.14</v>
      </c>
      <c r="T41" s="2" t="n">
        <v>11776.14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L43" s="2" t="n">
        <v>3891.77</v>
      </c>
      <c r="O43" s="2" t="n">
        <v>7783.54</v>
      </c>
      <c r="P43" s="2" t="n">
        <v>7783.54</v>
      </c>
      <c r="Q43" s="2" t="n">
        <v>11675.31</v>
      </c>
      <c r="R43" s="2" t="n">
        <v>17512.98</v>
      </c>
      <c r="S43" s="2" t="n">
        <v>17512.98</v>
      </c>
      <c r="T43" s="2" t="n">
        <v>16903.97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O45" s="2" t="n">
        <v>2543605.42</v>
      </c>
      <c r="AE45" s="10">
        <f>SUM(C45:AD45)</f>
        <v/>
      </c>
    </row>
    <row r="46">
      <c r="B46" t="inlineStr">
        <is>
          <t>Obligated</t>
        </is>
      </c>
      <c r="O46" s="2" t="n">
        <v>2543605.42</v>
      </c>
      <c r="AE46" s="10">
        <f>SUM(C46:AD46)</f>
        <v/>
      </c>
    </row>
    <row r="47">
      <c r="B47" t="inlineStr">
        <is>
          <t>Expended</t>
        </is>
      </c>
      <c r="P47" s="2" t="n">
        <v>1108000</v>
      </c>
      <c r="Q47" s="2" t="n">
        <v>908206.46</v>
      </c>
      <c r="R47" s="2" t="n">
        <v>263699.48</v>
      </c>
      <c r="S47" s="2" t="n">
        <v>155699.48</v>
      </c>
      <c r="T47" s="2" t="n">
        <v>108000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2ADP056</t>
        </is>
      </c>
    </row>
    <row r="4">
      <c r="A4" s="1" t="inlineStr">
        <is>
          <t>ROLLUP #</t>
        </is>
      </c>
      <c r="B4" t="inlineStr">
        <is>
          <t>713100</t>
        </is>
      </c>
    </row>
    <row r="5">
      <c r="A5" s="1" t="inlineStr">
        <is>
          <t>PROJECT NAME</t>
        </is>
      </c>
      <c r="B5" t="inlineStr">
        <is>
          <t>Integrated Head Protection System IHPS Railink Infrastructure</t>
        </is>
      </c>
    </row>
    <row r="6">
      <c r="A6" s="1" t="inlineStr">
        <is>
          <t>TECHNICAL POINT OF CONTACT</t>
        </is>
      </c>
      <c r="B6" t="inlineStr">
        <is>
          <t>Benjamin Fasel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CK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O18" s="2" t="n">
        <v>336.96</v>
      </c>
      <c r="P18" s="2" t="n">
        <v>479.72</v>
      </c>
      <c r="Q18" s="2" t="n">
        <v>624.25</v>
      </c>
      <c r="R18" s="2" t="n">
        <v>24.97</v>
      </c>
      <c r="S18" s="2" t="n">
        <v>24.97</v>
      </c>
      <c r="T18" s="2" t="n">
        <v>307.75</v>
      </c>
      <c r="U18" s="2" t="n">
        <v>1037.12</v>
      </c>
      <c r="V18" s="2" t="n">
        <v>-758.41</v>
      </c>
      <c r="AE18" s="10">
        <f>SUM(C18:AD18)</f>
        <v/>
      </c>
    </row>
    <row r="19">
      <c r="B19" t="inlineStr">
        <is>
          <t>Fringe 5990</t>
        </is>
      </c>
      <c r="O19" s="2" t="n">
        <v>152.58</v>
      </c>
      <c r="P19" s="2" t="n">
        <v>217.22</v>
      </c>
      <c r="Q19" s="2" t="n">
        <v>282.66</v>
      </c>
      <c r="R19" s="2" t="n">
        <v>11.31</v>
      </c>
      <c r="S19" s="2" t="n">
        <v>11.31</v>
      </c>
      <c r="T19" s="2" t="n">
        <v>148.73</v>
      </c>
      <c r="U19" s="2" t="n">
        <v>498.86</v>
      </c>
      <c r="V19" s="2" t="n">
        <v>-364.8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R21" s="2" t="n">
        <v>228683.16</v>
      </c>
      <c r="T21" s="2" t="n">
        <v>102514.37</v>
      </c>
      <c r="U21" s="2" t="n">
        <v>-197.53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V23" s="2" t="n">
        <v>12529.44</v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U25" s="2" t="n">
        <v>242.51</v>
      </c>
      <c r="AE25" s="10">
        <f>SUM(C25:AD25)</f>
        <v/>
      </c>
    </row>
    <row r="26">
      <c r="B26" t="inlineStr">
        <is>
          <t>Material 5003</t>
        </is>
      </c>
      <c r="U26" s="2" t="n">
        <v>12529.44</v>
      </c>
      <c r="V26" s="2" t="n">
        <v>-12529.44</v>
      </c>
      <c r="AE26" s="10">
        <f>SUM(C26:AD26)</f>
        <v/>
      </c>
    </row>
    <row r="27">
      <c r="B27" t="inlineStr">
        <is>
          <t>Sub K Overhead 5992</t>
        </is>
      </c>
      <c r="R27" s="2" t="n">
        <v>6471.73</v>
      </c>
      <c r="T27" s="2" t="n">
        <v>3136.94</v>
      </c>
      <c r="U27" s="2" t="n">
        <v>-6.04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O29" s="2" t="n">
        <v>708.46</v>
      </c>
      <c r="P29" s="2" t="n">
        <v>1008.61</v>
      </c>
      <c r="Q29" s="2" t="n">
        <v>1312.48</v>
      </c>
      <c r="R29" s="2" t="n">
        <v>52.5</v>
      </c>
      <c r="S29" s="2" t="n">
        <v>52.5</v>
      </c>
      <c r="T29" s="2" t="n">
        <v>594.9400000000001</v>
      </c>
      <c r="U29" s="2" t="n">
        <v>18799.18</v>
      </c>
      <c r="V29" s="2" t="n">
        <v>-17938.2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L32" s="2" t="n">
        <v>643.13</v>
      </c>
      <c r="O32" s="2" t="n">
        <v>1286.26</v>
      </c>
      <c r="P32" s="2" t="n">
        <v>1286.26</v>
      </c>
      <c r="Q32" s="2" t="n">
        <v>1929.39</v>
      </c>
      <c r="R32" s="2" t="n">
        <v>643.13</v>
      </c>
      <c r="AE32" s="10">
        <f>SUM(C32:AD32)</f>
        <v/>
      </c>
    </row>
    <row r="33">
      <c r="B33" t="inlineStr">
        <is>
          <t>Fringe 5990</t>
        </is>
      </c>
      <c r="L33" s="2" t="n">
        <v>291.21</v>
      </c>
      <c r="O33" s="2" t="n">
        <v>582.42</v>
      </c>
      <c r="P33" s="2" t="n">
        <v>582.42</v>
      </c>
      <c r="Q33" s="2" t="n">
        <v>873.63</v>
      </c>
      <c r="R33" s="2" t="n">
        <v>291.21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L35" s="2" t="n">
        <v>36777.82</v>
      </c>
      <c r="O35" s="2" t="n">
        <v>73555.64</v>
      </c>
      <c r="P35" s="2" t="n">
        <v>73555.64</v>
      </c>
      <c r="Q35" s="2" t="n">
        <v>110333.46</v>
      </c>
      <c r="R35" s="2" t="n">
        <v>36777.82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L41" s="2" t="n">
        <v>1040.81</v>
      </c>
      <c r="O41" s="2" t="n">
        <v>2081.62</v>
      </c>
      <c r="P41" s="2" t="n">
        <v>2081.62</v>
      </c>
      <c r="Q41" s="2" t="n">
        <v>3122.43</v>
      </c>
      <c r="R41" s="2" t="n">
        <v>1040.68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L43" s="2" t="n">
        <v>1358.17</v>
      </c>
      <c r="O43" s="2" t="n">
        <v>2716.34</v>
      </c>
      <c r="P43" s="2" t="n">
        <v>2716.34</v>
      </c>
      <c r="Q43" s="2" t="n">
        <v>4074.51</v>
      </c>
      <c r="R43" s="2" t="n">
        <v>1358.17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O45" s="2" t="n">
        <v>361000</v>
      </c>
      <c r="AE45" s="10">
        <f>SUM(C45:AD45)</f>
        <v/>
      </c>
    </row>
    <row r="46">
      <c r="B46" t="inlineStr">
        <is>
          <t>Obligated</t>
        </is>
      </c>
      <c r="O46" s="2" t="n">
        <v>361000</v>
      </c>
      <c r="AE46" s="10">
        <f>SUM(C46:AD46)</f>
        <v/>
      </c>
    </row>
    <row r="47">
      <c r="B47" t="inlineStr">
        <is>
          <t>Expended</t>
        </is>
      </c>
      <c r="P47" s="2" t="n">
        <v>361000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2ADP057</t>
        </is>
      </c>
    </row>
    <row r="4">
      <c r="A4" s="1" t="inlineStr">
        <is>
          <t>ROLLUP #</t>
        </is>
      </c>
      <c r="B4" t="inlineStr">
        <is>
          <t>1057</t>
        </is>
      </c>
    </row>
    <row r="5">
      <c r="A5" s="1" t="inlineStr">
        <is>
          <t>PROJECT NAME</t>
        </is>
      </c>
      <c r="B5" t="inlineStr">
        <is>
          <t>FHE to Mitigate Climate Change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ADP-Tech, PC ADP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CV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V18" s="2" t="n">
        <v>16082.06</v>
      </c>
      <c r="W18" s="2" t="n">
        <v>4054.8</v>
      </c>
      <c r="X18" s="2" t="n">
        <v>9307.110000000001</v>
      </c>
      <c r="AE18" s="10">
        <f>SUM(C18:AD18)</f>
        <v/>
      </c>
    </row>
    <row r="19">
      <c r="B19" t="inlineStr">
        <is>
          <t>Fringe 5990</t>
        </is>
      </c>
      <c r="V19" s="2" t="n">
        <v>7735.47</v>
      </c>
      <c r="W19" s="2" t="n">
        <v>2037.94</v>
      </c>
      <c r="X19" s="2" t="n">
        <v>4677.75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S21" s="2" t="n">
        <v>10110.63</v>
      </c>
      <c r="T21" s="2" t="n">
        <v>7827.5</v>
      </c>
      <c r="U21" s="2" t="n">
        <v>67057.07000000001</v>
      </c>
      <c r="V21" s="2" t="n">
        <v>37515.76</v>
      </c>
      <c r="W21" s="2" t="n">
        <v>16535.82</v>
      </c>
      <c r="X21" s="2" t="n">
        <v>89506.56</v>
      </c>
      <c r="Y21" s="2" t="n">
        <v>255053.65</v>
      </c>
      <c r="Z21" s="2" t="n">
        <v>242446.26</v>
      </c>
      <c r="AB21" s="2" t="n">
        <v>39568.1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S27" s="2" t="n">
        <v>286.13</v>
      </c>
      <c r="T27" s="2" t="n">
        <v>262.77</v>
      </c>
      <c r="U27" s="2" t="n">
        <v>2051.95</v>
      </c>
      <c r="V27" s="2" t="n">
        <v>1147.97</v>
      </c>
      <c r="W27" s="2" t="n">
        <v>484.5</v>
      </c>
      <c r="X27" s="2" t="n">
        <v>2622.54</v>
      </c>
      <c r="Y27" s="2" t="n">
        <v>7473.07</v>
      </c>
      <c r="Z27" s="2" t="n">
        <v>7103.68</v>
      </c>
      <c r="AB27" s="2" t="n">
        <v>1198.91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V29" s="2" t="n">
        <v>31293.86</v>
      </c>
      <c r="W29" s="2" t="n">
        <v>8090.55</v>
      </c>
      <c r="X29" s="2" t="n">
        <v>18570.49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Q32" s="2" t="n">
        <v>665.41</v>
      </c>
      <c r="R32" s="2" t="n">
        <v>4204.69</v>
      </c>
      <c r="S32" s="2" t="n">
        <v>6745.96</v>
      </c>
      <c r="T32" s="2" t="n">
        <v>2946.15</v>
      </c>
      <c r="U32" s="2" t="n">
        <v>2849.13</v>
      </c>
      <c r="V32" s="2" t="n">
        <v>2849.13</v>
      </c>
      <c r="W32" s="2" t="n">
        <v>2944.1</v>
      </c>
      <c r="X32" s="2" t="n">
        <v>2760.05</v>
      </c>
      <c r="Y32" s="2" t="n">
        <v>2012.07</v>
      </c>
      <c r="Z32" s="2" t="n">
        <v>670.6900000000001</v>
      </c>
      <c r="AE32" s="10">
        <f>SUM(C32:AD32)</f>
        <v/>
      </c>
    </row>
    <row r="33">
      <c r="B33" t="inlineStr">
        <is>
          <t>Fringe 5990</t>
        </is>
      </c>
      <c r="Q33" s="2" t="n">
        <v>301.3</v>
      </c>
      <c r="R33" s="2" t="n">
        <v>1903.89</v>
      </c>
      <c r="S33" s="2" t="n">
        <v>3054.57</v>
      </c>
      <c r="T33" s="2" t="n">
        <v>1334.01</v>
      </c>
      <c r="U33" s="2" t="n">
        <v>1290.09</v>
      </c>
      <c r="V33" s="2" t="n">
        <v>1290.09</v>
      </c>
      <c r="W33" s="2" t="n">
        <v>1333.09</v>
      </c>
      <c r="X33" s="2" t="n">
        <v>1249.75</v>
      </c>
      <c r="Y33" s="2" t="n">
        <v>911.0700000000001</v>
      </c>
      <c r="Z33" s="2" t="n">
        <v>303.69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R35" s="2" t="n">
        <v>147993.45</v>
      </c>
      <c r="S35" s="2" t="n">
        <v>136126.38</v>
      </c>
      <c r="T35" s="2" t="n">
        <v>153132</v>
      </c>
      <c r="U35" s="2" t="n">
        <v>153529.98</v>
      </c>
      <c r="V35" s="2" t="n">
        <v>122367.36</v>
      </c>
      <c r="W35" s="2" t="n">
        <v>204860.88</v>
      </c>
      <c r="X35" s="2" t="n">
        <v>81989.94</v>
      </c>
      <c r="Z35" s="2" t="n">
        <v>83253</v>
      </c>
      <c r="AA35" s="2" t="n">
        <v>83253</v>
      </c>
      <c r="AB35" s="2" t="n">
        <v>83253</v>
      </c>
      <c r="AC35" s="2" t="n">
        <v>83253</v>
      </c>
      <c r="AD35" s="2" t="n">
        <v>83253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R41" s="2" t="n">
        <v>4188.21</v>
      </c>
      <c r="S41" s="2" t="n">
        <v>3852.39</v>
      </c>
      <c r="T41" s="2" t="n">
        <v>4333.65</v>
      </c>
      <c r="U41" s="2" t="n">
        <v>4344.9</v>
      </c>
      <c r="V41" s="2" t="n">
        <v>3462.99</v>
      </c>
      <c r="W41" s="2" t="n">
        <v>5797.56</v>
      </c>
      <c r="X41" s="2" t="n">
        <v>2320.32</v>
      </c>
      <c r="Z41" s="2" t="n">
        <v>2439</v>
      </c>
      <c r="AA41" s="2" t="n">
        <v>2439</v>
      </c>
      <c r="AB41" s="2" t="n">
        <v>2439</v>
      </c>
      <c r="AC41" s="2" t="n">
        <v>2439</v>
      </c>
      <c r="AD41" s="2" t="n">
        <v>2439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Q43" s="2" t="n">
        <v>1399.03</v>
      </c>
      <c r="R43" s="2" t="n">
        <v>8840.360000000001</v>
      </c>
      <c r="S43" s="2" t="n">
        <v>14183.35</v>
      </c>
      <c r="T43" s="2" t="n">
        <v>6194.27</v>
      </c>
      <c r="U43" s="2" t="n">
        <v>5990.31</v>
      </c>
      <c r="V43" s="2" t="n">
        <v>5990.31</v>
      </c>
      <c r="W43" s="2" t="n">
        <v>6189.98</v>
      </c>
      <c r="X43" s="2" t="n">
        <v>5803</v>
      </c>
      <c r="Y43" s="2" t="n">
        <v>4230.36</v>
      </c>
      <c r="Z43" s="2" t="n">
        <v>1410.12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Q45" s="2" t="n">
        <v>1644300</v>
      </c>
      <c r="AE45" s="10">
        <f>SUM(C45:AD45)</f>
        <v/>
      </c>
    </row>
    <row r="46">
      <c r="B46" t="inlineStr">
        <is>
          <t>Obligated</t>
        </is>
      </c>
      <c r="Q46" s="2" t="n">
        <v>1644300</v>
      </c>
      <c r="AE46" s="10">
        <f>SUM(C46:AD46)</f>
        <v/>
      </c>
    </row>
    <row r="47">
      <c r="B47" t="inlineStr">
        <is>
          <t>Expended</t>
        </is>
      </c>
      <c r="R47" s="2" t="n">
        <v>325000</v>
      </c>
      <c r="S47" s="2" t="n">
        <v>175000</v>
      </c>
      <c r="T47" s="2" t="n">
        <v>500000</v>
      </c>
      <c r="U47" s="2" t="n">
        <v>120000</v>
      </c>
      <c r="V47" s="2" t="n">
        <v>250000</v>
      </c>
      <c r="W47" s="2" t="n">
        <v>274300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2ADP058</t>
        </is>
      </c>
    </row>
    <row r="4">
      <c r="A4" s="1" t="inlineStr">
        <is>
          <t>ROLLUP #</t>
        </is>
      </c>
      <c r="B4" t="inlineStr">
        <is>
          <t>1058</t>
        </is>
      </c>
    </row>
    <row r="5">
      <c r="A5" s="1" t="inlineStr">
        <is>
          <t>PROJECT NAME</t>
        </is>
      </c>
      <c r="B5" t="inlineStr">
        <is>
          <t>Education and Workforce Development MII Network OUSD R nd E</t>
        </is>
      </c>
    </row>
    <row r="6">
      <c r="A6" s="1" t="inlineStr">
        <is>
          <t>TECHNICAL POINT OF CONTACT</t>
        </is>
      </c>
      <c r="B6" t="inlineStr">
        <is>
          <t>Charlene Stokes</t>
        </is>
      </c>
    </row>
    <row r="7">
      <c r="A7" s="1" t="inlineStr">
        <is>
          <t>PROJECT TYPE</t>
        </is>
      </c>
      <c r="B7" t="inlineStr">
        <is>
          <t>ADP-EWD, ADP-EWD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CN</t>
        </is>
      </c>
    </row>
    <row r="11">
      <c r="A11" s="1" t="inlineStr">
        <is>
          <t>AVAILABLE FUNDS</t>
        </is>
      </c>
      <c r="B11" s="2" t="n">
        <v>140847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P18" s="2" t="n">
        <v>679.01</v>
      </c>
      <c r="Q18" s="2" t="n">
        <v>1049.3</v>
      </c>
      <c r="R18" s="2" t="n">
        <v>891.3</v>
      </c>
      <c r="S18" s="2" t="n">
        <v>395.08</v>
      </c>
      <c r="T18" s="2" t="n">
        <v>690.7</v>
      </c>
      <c r="U18" s="2" t="n">
        <v>2919.97</v>
      </c>
      <c r="V18" s="2" t="n">
        <v>1825.66</v>
      </c>
      <c r="W18" s="2" t="n">
        <v>1896.94</v>
      </c>
      <c r="X18" s="2" t="n">
        <v>303.16</v>
      </c>
      <c r="Y18" s="2" t="n">
        <v>39.82</v>
      </c>
      <c r="Z18" s="2" t="n">
        <v>4741.28</v>
      </c>
      <c r="AA18" s="2" t="n">
        <v>3570.88</v>
      </c>
      <c r="AB18" s="2" t="n">
        <v>118.99</v>
      </c>
      <c r="AE18" s="10">
        <f>SUM(C18:AD18)</f>
        <v/>
      </c>
    </row>
    <row r="19">
      <c r="B19" t="inlineStr">
        <is>
          <t>Fringe 5990</t>
        </is>
      </c>
      <c r="P19" s="2" t="n">
        <v>307.46</v>
      </c>
      <c r="Q19" s="2" t="n">
        <v>475.12</v>
      </c>
      <c r="R19" s="2" t="n">
        <v>403.58</v>
      </c>
      <c r="S19" s="2" t="n">
        <v>178.89</v>
      </c>
      <c r="T19" s="2" t="n">
        <v>343.36</v>
      </c>
      <c r="U19" s="2" t="n">
        <v>1404.5</v>
      </c>
      <c r="V19" s="2" t="n">
        <v>878.15</v>
      </c>
      <c r="W19" s="2" t="n">
        <v>953.4</v>
      </c>
      <c r="X19" s="2" t="n">
        <v>152.37</v>
      </c>
      <c r="Y19" s="2" t="n">
        <v>20.01</v>
      </c>
      <c r="Z19" s="2" t="n">
        <v>2382.97</v>
      </c>
      <c r="AA19" s="2" t="n">
        <v>1932.91</v>
      </c>
      <c r="AB19" s="2" t="n">
        <v>137.84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Q21" s="2" t="n">
        <v>259602.13</v>
      </c>
      <c r="R21" s="2" t="n">
        <v>242366.64</v>
      </c>
      <c r="S21" s="2" t="n">
        <v>172165.53</v>
      </c>
      <c r="T21" s="2" t="n">
        <v>176496.75</v>
      </c>
      <c r="U21" s="2" t="n">
        <v>138770.01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Q27" s="2" t="n">
        <v>7346.75</v>
      </c>
      <c r="R27" s="2" t="n">
        <v>6858.98</v>
      </c>
      <c r="S27" s="2" t="n">
        <v>4872.28</v>
      </c>
      <c r="T27" s="2" t="n">
        <v>5796.78</v>
      </c>
      <c r="U27" s="2" t="n">
        <v>4246.36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P29" s="2" t="n">
        <v>1427.61</v>
      </c>
      <c r="Q29" s="2" t="n">
        <v>2206.14</v>
      </c>
      <c r="R29" s="2" t="n">
        <v>1873.95</v>
      </c>
      <c r="S29" s="2" t="n">
        <v>830.61</v>
      </c>
      <c r="T29" s="2" t="n">
        <v>1282.16</v>
      </c>
      <c r="U29" s="2" t="n">
        <v>5681.92</v>
      </c>
      <c r="V29" s="2" t="n">
        <v>3552.53</v>
      </c>
      <c r="W29" s="2" t="n">
        <v>3784.97</v>
      </c>
      <c r="X29" s="2" t="n">
        <v>604.9</v>
      </c>
      <c r="Y29" s="2" t="n">
        <v>79.45</v>
      </c>
      <c r="Z29" s="2" t="n">
        <v>9460.290000000001</v>
      </c>
      <c r="AA29" s="2" t="n">
        <v>7499.47</v>
      </c>
      <c r="AB29" s="2" t="n">
        <v>534.8099999999999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P32" s="2" t="n">
        <v>3502.08</v>
      </c>
      <c r="Q32" s="2" t="n">
        <v>3502.08</v>
      </c>
      <c r="R32" s="2" t="n">
        <v>3502.08</v>
      </c>
      <c r="S32" s="2" t="n">
        <v>3502.08</v>
      </c>
      <c r="T32" s="2" t="n">
        <v>3583.38</v>
      </c>
      <c r="U32" s="2" t="n">
        <v>1086.1</v>
      </c>
      <c r="AE32" s="10">
        <f>SUM(C32:AD32)</f>
        <v/>
      </c>
    </row>
    <row r="33">
      <c r="B33" t="inlineStr">
        <is>
          <t>Fringe 5990</t>
        </is>
      </c>
      <c r="P33" s="2" t="n">
        <v>1585.62</v>
      </c>
      <c r="Q33" s="2" t="n">
        <v>1585.62</v>
      </c>
      <c r="R33" s="2" t="n">
        <v>1585.62</v>
      </c>
      <c r="S33" s="2" t="n">
        <v>1585.62</v>
      </c>
      <c r="T33" s="2" t="n">
        <v>1585.62</v>
      </c>
      <c r="U33" s="2" t="n">
        <v>528.39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P35" s="2" t="n">
        <v>185571.18</v>
      </c>
      <c r="Q35" s="2" t="n">
        <v>185571.18</v>
      </c>
      <c r="R35" s="2" t="n">
        <v>185571.18</v>
      </c>
      <c r="S35" s="2" t="n">
        <v>185571.18</v>
      </c>
      <c r="T35" s="2" t="n">
        <v>185571.18</v>
      </c>
      <c r="U35" s="2" t="n">
        <v>61857.06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P41" s="2" t="n">
        <v>5678.49</v>
      </c>
      <c r="Q41" s="2" t="n">
        <v>5678.49</v>
      </c>
      <c r="R41" s="2" t="n">
        <v>5678.49</v>
      </c>
      <c r="S41" s="2" t="n">
        <v>5678.49</v>
      </c>
      <c r="T41" s="2" t="n">
        <v>5678.49</v>
      </c>
      <c r="U41" s="2" t="n">
        <v>1892.82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P43" s="2" t="n">
        <v>6233.07</v>
      </c>
      <c r="Q43" s="2" t="n">
        <v>6233.07</v>
      </c>
      <c r="R43" s="2" t="n">
        <v>6233.07</v>
      </c>
      <c r="S43" s="2" t="n">
        <v>6233.05</v>
      </c>
      <c r="T43" s="2" t="n">
        <v>6233.04</v>
      </c>
      <c r="U43" s="2" t="n">
        <v>2077.65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P45" s="2" t="n">
        <v>1221221.98</v>
      </c>
      <c r="AE45" s="10">
        <f>SUM(C45:AD45)</f>
        <v/>
      </c>
    </row>
    <row r="46">
      <c r="B46" t="inlineStr">
        <is>
          <t>Obligated</t>
        </is>
      </c>
      <c r="P46" s="2" t="n">
        <v>1221221.98</v>
      </c>
      <c r="AE46" s="10">
        <f>SUM(C46:AD46)</f>
        <v/>
      </c>
    </row>
    <row r="47">
      <c r="B47" t="inlineStr">
        <is>
          <t>Expended</t>
        </is>
      </c>
      <c r="Q47" s="2" t="n">
        <v>250776.75</v>
      </c>
      <c r="R47" s="2" t="n">
        <v>243000</v>
      </c>
      <c r="S47" s="2" t="n">
        <v>250000</v>
      </c>
      <c r="T47" s="2" t="n">
        <v>477445.23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2ADP059</t>
        </is>
      </c>
    </row>
    <row r="4">
      <c r="A4" s="1" t="inlineStr">
        <is>
          <t>ROLLUP #</t>
        </is>
      </c>
      <c r="B4" t="inlineStr">
        <is>
          <t>1059</t>
        </is>
      </c>
    </row>
    <row r="5">
      <c r="A5" s="1" t="inlineStr">
        <is>
          <t>PROJECT NAME</t>
        </is>
      </c>
      <c r="B5" t="inlineStr">
        <is>
          <t>Building the Defense Innovation Bases Advanced Manufacturing Workforce Program OSD EWD Phase II</t>
        </is>
      </c>
    </row>
    <row r="6">
      <c r="A6" s="1" t="inlineStr">
        <is>
          <t>TECHNICAL POINT OF CONTACT</t>
        </is>
      </c>
      <c r="B6" t="inlineStr">
        <is>
          <t>Charlene Stokes</t>
        </is>
      </c>
    </row>
    <row r="7">
      <c r="A7" s="1" t="inlineStr">
        <is>
          <t>PROJECT TYPE</t>
        </is>
      </c>
      <c r="B7" t="inlineStr">
        <is>
          <t>ADP-EWD, ADP-EWD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CS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Q18" s="2" t="n">
        <v>3043.22</v>
      </c>
      <c r="R18" s="2" t="n">
        <v>710.28</v>
      </c>
      <c r="S18" s="2" t="n">
        <v>688.54</v>
      </c>
      <c r="T18" s="2" t="n">
        <v>1357.97</v>
      </c>
      <c r="U18" s="2" t="n">
        <v>1370.84</v>
      </c>
      <c r="V18" s="2" t="n">
        <v>7057.18</v>
      </c>
      <c r="W18" s="2" t="n">
        <v>18886.8</v>
      </c>
      <c r="X18" s="2" t="n">
        <v>13817.16</v>
      </c>
      <c r="Y18" s="2" t="n">
        <v>206</v>
      </c>
      <c r="Z18" s="2" t="n">
        <v>6540.55</v>
      </c>
      <c r="AA18" s="2" t="n">
        <v>2881.78</v>
      </c>
      <c r="AE18" s="10">
        <f>SUM(C18:AD18)</f>
        <v/>
      </c>
    </row>
    <row r="19">
      <c r="B19" t="inlineStr">
        <is>
          <t>Fringe 5990</t>
        </is>
      </c>
      <c r="Q19" s="2" t="n">
        <v>1377.98</v>
      </c>
      <c r="R19" s="2" t="n">
        <v>321.61</v>
      </c>
      <c r="S19" s="2" t="n">
        <v>311.77</v>
      </c>
      <c r="T19" s="2" t="n">
        <v>672.59</v>
      </c>
      <c r="U19" s="2" t="n">
        <v>659.37</v>
      </c>
      <c r="V19" s="2" t="n">
        <v>3394.51</v>
      </c>
      <c r="W19" s="2" t="n">
        <v>9492.51</v>
      </c>
      <c r="X19" s="2" t="n">
        <v>6944.5</v>
      </c>
      <c r="Y19" s="2" t="n">
        <v>103.53</v>
      </c>
      <c r="Z19" s="2" t="n">
        <v>3287.28</v>
      </c>
      <c r="AA19" s="2" t="n">
        <v>1559.91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Q21" s="2" t="n">
        <v>11636.28</v>
      </c>
      <c r="R21" s="2" t="n">
        <v>521218.92</v>
      </c>
      <c r="S21" s="2" t="n">
        <v>156574.5</v>
      </c>
      <c r="T21" s="2" t="n">
        <v>425431.97</v>
      </c>
      <c r="U21" s="2" t="n">
        <v>654494.49</v>
      </c>
      <c r="V21" s="2" t="n">
        <v>281275.22</v>
      </c>
      <c r="W21" s="2" t="n">
        <v>102952.83</v>
      </c>
      <c r="Y21" s="2" t="n">
        <v>140036.71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Q27" s="2" t="n">
        <v>329.31</v>
      </c>
      <c r="R27" s="2" t="n">
        <v>14750.5</v>
      </c>
      <c r="S27" s="2" t="n">
        <v>4431.06</v>
      </c>
      <c r="T27" s="2" t="n">
        <v>13378.34</v>
      </c>
      <c r="U27" s="2" t="n">
        <v>20027.52</v>
      </c>
      <c r="V27" s="2" t="n">
        <v>8607.02</v>
      </c>
      <c r="W27" s="2" t="n">
        <v>3016.52</v>
      </c>
      <c r="Y27" s="2" t="n">
        <v>4103.08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Q29" s="2" t="n">
        <v>6398.35</v>
      </c>
      <c r="R29" s="2" t="n">
        <v>1493.36</v>
      </c>
      <c r="S29" s="2" t="n">
        <v>1447.63</v>
      </c>
      <c r="T29" s="2" t="n">
        <v>2534.62</v>
      </c>
      <c r="U29" s="2" t="n">
        <v>2667.51</v>
      </c>
      <c r="V29" s="2" t="n">
        <v>13732.46</v>
      </c>
      <c r="W29" s="2" t="n">
        <v>37684.88</v>
      </c>
      <c r="X29" s="2" t="n">
        <v>27569.41</v>
      </c>
      <c r="Y29" s="2" t="n">
        <v>411.03</v>
      </c>
      <c r="Z29" s="2" t="n">
        <v>13050.37</v>
      </c>
      <c r="AA29" s="2" t="n">
        <v>6052.25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Q32" s="2" t="n">
        <v>7430.13</v>
      </c>
      <c r="R32" s="2" t="n">
        <v>7430.13</v>
      </c>
      <c r="S32" s="2" t="n">
        <v>7430.13</v>
      </c>
      <c r="T32" s="2" t="n">
        <v>7430.13</v>
      </c>
      <c r="U32" s="2" t="n">
        <v>7430.13</v>
      </c>
      <c r="V32" s="2" t="n">
        <v>7430.13</v>
      </c>
      <c r="W32" s="2" t="n">
        <v>2476.71</v>
      </c>
      <c r="AE32" s="10">
        <f>SUM(C32:AD32)</f>
        <v/>
      </c>
    </row>
    <row r="33">
      <c r="B33" t="inlineStr">
        <is>
          <t>Fringe 5990</t>
        </is>
      </c>
      <c r="Q33" s="2" t="n">
        <v>3364.38</v>
      </c>
      <c r="R33" s="2" t="n">
        <v>3364.38</v>
      </c>
      <c r="S33" s="2" t="n">
        <v>3364.38</v>
      </c>
      <c r="T33" s="2" t="n">
        <v>3364.38</v>
      </c>
      <c r="U33" s="2" t="n">
        <v>3364.38</v>
      </c>
      <c r="V33" s="2" t="n">
        <v>3364.38</v>
      </c>
      <c r="W33" s="2" t="n">
        <v>1121.46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Q35" s="2" t="n">
        <v>171470.58</v>
      </c>
      <c r="R35" s="2" t="n">
        <v>640805.4300000001</v>
      </c>
      <c r="S35" s="2" t="n">
        <v>695937.63</v>
      </c>
      <c r="T35" s="2" t="n">
        <v>628521.35</v>
      </c>
      <c r="U35" s="2" t="n">
        <v>376464.16</v>
      </c>
      <c r="V35" s="2" t="n">
        <v>105920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Q41" s="2" t="n">
        <v>4852.62</v>
      </c>
      <c r="R41" s="2" t="n">
        <v>18134.95</v>
      </c>
      <c r="S41" s="2" t="n">
        <v>19696.42</v>
      </c>
      <c r="T41" s="2" t="n">
        <v>17786.47</v>
      </c>
      <c r="U41" s="2" t="n">
        <v>10654.96</v>
      </c>
      <c r="V41" s="2" t="n">
        <v>2997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Q43" s="2" t="n">
        <v>15622.98</v>
      </c>
      <c r="R43" s="2" t="n">
        <v>15622.98</v>
      </c>
      <c r="S43" s="2" t="n">
        <v>15622.98</v>
      </c>
      <c r="T43" s="2" t="n">
        <v>15622.98</v>
      </c>
      <c r="U43" s="2" t="n">
        <v>15622.98</v>
      </c>
      <c r="V43" s="2" t="n">
        <v>15622.96</v>
      </c>
      <c r="W43" s="2" t="n">
        <v>5207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Q45" s="2" t="n">
        <v>2860551.77</v>
      </c>
      <c r="AE45" s="10">
        <f>SUM(C45:AD45)</f>
        <v/>
      </c>
    </row>
    <row r="46">
      <c r="B46" t="inlineStr">
        <is>
          <t>Obligated</t>
        </is>
      </c>
      <c r="Q46" s="2" t="n">
        <v>2860551.77</v>
      </c>
      <c r="AE46" s="10">
        <f>SUM(C46:AD46)</f>
        <v/>
      </c>
    </row>
    <row r="47">
      <c r="B47" t="inlineStr">
        <is>
          <t>Expended</t>
        </is>
      </c>
      <c r="R47" s="2" t="n">
        <v>722221.1699999999</v>
      </c>
      <c r="S47" s="2" t="n">
        <v>1100000</v>
      </c>
      <c r="T47" s="2" t="n">
        <v>778747.9500000001</v>
      </c>
      <c r="U47" s="2" t="n">
        <v>100000</v>
      </c>
      <c r="V47" s="2" t="n">
        <v>159582.65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2ADP060</t>
        </is>
      </c>
    </row>
    <row r="4">
      <c r="A4" s="1" t="inlineStr">
        <is>
          <t>ROLLUP #</t>
        </is>
      </c>
      <c r="B4" t="inlineStr">
        <is>
          <t>1060</t>
        </is>
      </c>
    </row>
    <row r="5">
      <c r="A5" s="1" t="inlineStr">
        <is>
          <t>PROJECT NAME</t>
        </is>
      </c>
      <c r="B5" t="inlineStr">
        <is>
          <t>High Temperature CMOS Signal Electronics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CM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P18" s="2" t="n">
        <v>11767.14</v>
      </c>
      <c r="Q18" s="2" t="n">
        <v>12040.35</v>
      </c>
      <c r="AE18" s="10">
        <f>SUM(C18:AD18)</f>
        <v/>
      </c>
    </row>
    <row r="19">
      <c r="B19" t="inlineStr">
        <is>
          <t>Fringe 5990</t>
        </is>
      </c>
      <c r="P19" s="2" t="n">
        <v>5328.16</v>
      </c>
      <c r="Q19" s="2" t="n">
        <v>5451.87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R21" s="2" t="n">
        <v>218956.62</v>
      </c>
      <c r="U21" s="2" t="n">
        <v>448090.25</v>
      </c>
      <c r="V21" s="2" t="n">
        <v>223749.01</v>
      </c>
      <c r="AB21" s="2" t="n">
        <v>296.12</v>
      </c>
      <c r="AE21" s="10">
        <f>SUM(C21:AD21)</f>
        <v/>
      </c>
    </row>
    <row r="22">
      <c r="B22" t="inlineStr">
        <is>
          <t>Consulting 5002</t>
        </is>
      </c>
      <c r="Q22" s="2" t="n">
        <v>315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Q26" s="2" t="n">
        <v>1528</v>
      </c>
      <c r="AE26" s="10">
        <f>SUM(C26:AD26)</f>
        <v/>
      </c>
    </row>
    <row r="27">
      <c r="B27" t="inlineStr">
        <is>
          <t>Sub K Overhead 5992</t>
        </is>
      </c>
      <c r="R27" s="2" t="n">
        <v>6196.47</v>
      </c>
      <c r="U27" s="2" t="n">
        <v>13711.56</v>
      </c>
      <c r="V27" s="2" t="n">
        <v>6846.72</v>
      </c>
      <c r="AB27" s="2" t="n">
        <v>8.970000000000001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P29" s="2" t="n">
        <v>24740.32</v>
      </c>
      <c r="Q29" s="2" t="n">
        <v>27981.93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P32" s="2" t="n">
        <v>1686.01</v>
      </c>
      <c r="Q32" s="2" t="n">
        <v>5058.03</v>
      </c>
      <c r="R32" s="2" t="n">
        <v>5058.03</v>
      </c>
      <c r="S32" s="2" t="n">
        <v>5058.03</v>
      </c>
      <c r="T32" s="2" t="n">
        <v>5058.03</v>
      </c>
      <c r="U32" s="2" t="n">
        <v>1686.01</v>
      </c>
      <c r="AE32" s="10">
        <f>SUM(C32:AD32)</f>
        <v/>
      </c>
    </row>
    <row r="33">
      <c r="B33" t="inlineStr">
        <is>
          <t>Fringe 5990</t>
        </is>
      </c>
      <c r="P33" s="2" t="n">
        <v>763.4299999999999</v>
      </c>
      <c r="Q33" s="2" t="n">
        <v>2290.29</v>
      </c>
      <c r="R33" s="2" t="n">
        <v>2290.29</v>
      </c>
      <c r="S33" s="2" t="n">
        <v>2290.29</v>
      </c>
      <c r="T33" s="2" t="n">
        <v>2290.29</v>
      </c>
      <c r="U33" s="2" t="n">
        <v>763.4299999999999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P35" s="2" t="n">
        <v>41945.47</v>
      </c>
      <c r="Q35" s="2" t="n">
        <v>199604.37</v>
      </c>
      <c r="R35" s="2" t="n">
        <v>292756.89</v>
      </c>
      <c r="S35" s="2" t="n">
        <v>180292.04</v>
      </c>
      <c r="T35" s="2" t="n">
        <v>145832.75</v>
      </c>
      <c r="U35" s="2" t="n">
        <v>30568.79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P41" s="2" t="n">
        <v>1187.06</v>
      </c>
      <c r="Q41" s="2" t="n">
        <v>5648.81</v>
      </c>
      <c r="R41" s="2" t="n">
        <v>8285.02</v>
      </c>
      <c r="S41" s="2" t="n">
        <v>5102.27</v>
      </c>
      <c r="T41" s="2" t="n">
        <v>4126.3</v>
      </c>
      <c r="U41" s="2" t="n">
        <v>865.1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P43" s="2" t="n">
        <v>3535.19</v>
      </c>
      <c r="Q43" s="2" t="n">
        <v>10605.57</v>
      </c>
      <c r="R43" s="2" t="n">
        <v>10605.57</v>
      </c>
      <c r="S43" s="2" t="n">
        <v>10605.57</v>
      </c>
      <c r="T43" s="2" t="n">
        <v>10606.06</v>
      </c>
      <c r="U43" s="2" t="n">
        <v>3535.07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P45" s="2" t="n">
        <v>1000000</v>
      </c>
      <c r="AE45" s="10">
        <f>SUM(C45:AD45)</f>
        <v/>
      </c>
    </row>
    <row r="46">
      <c r="B46" t="inlineStr">
        <is>
          <t>Obligated</t>
        </is>
      </c>
      <c r="P46" s="2" t="n">
        <v>1000000</v>
      </c>
      <c r="AE46" s="10">
        <f>SUM(C46:AD46)</f>
        <v/>
      </c>
    </row>
    <row r="47">
      <c r="B47" t="inlineStr">
        <is>
          <t>Expended</t>
        </is>
      </c>
      <c r="Q47" s="2" t="n">
        <v>250000</v>
      </c>
      <c r="R47" s="2" t="n">
        <v>187500</v>
      </c>
      <c r="T47" s="2" t="n">
        <v>562500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2ADP061</t>
        </is>
      </c>
    </row>
    <row r="4">
      <c r="A4" s="1" t="inlineStr">
        <is>
          <t>ROLLUP #</t>
        </is>
      </c>
      <c r="B4" t="inlineStr">
        <is>
          <t>1061</t>
        </is>
      </c>
    </row>
    <row r="5">
      <c r="A5" s="1" t="inlineStr">
        <is>
          <t>PROJECT NAME</t>
        </is>
      </c>
      <c r="B5" t="inlineStr">
        <is>
          <t>Prototype Enablement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CU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X18" s="2" t="n">
        <v>363.78</v>
      </c>
      <c r="Y18" s="2" t="n">
        <v>128882.42</v>
      </c>
      <c r="Z18" s="2" t="n">
        <v>-122731.04</v>
      </c>
      <c r="AA18" s="2" t="n">
        <v>1429.53</v>
      </c>
      <c r="AB18" s="2" t="n">
        <v>25076.19</v>
      </c>
      <c r="AE18" s="10">
        <f>SUM(C18:AD18)</f>
        <v/>
      </c>
    </row>
    <row r="19">
      <c r="B19" t="inlineStr">
        <is>
          <t>Fringe 5990</t>
        </is>
      </c>
      <c r="X19" s="2" t="n">
        <v>182.84</v>
      </c>
      <c r="Y19" s="2" t="n">
        <v>64776.3</v>
      </c>
      <c r="Z19" s="2" t="n">
        <v>-61684.63</v>
      </c>
      <c r="AA19" s="2" t="n">
        <v>773.8</v>
      </c>
      <c r="AB19" s="2" t="n">
        <v>13721.88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R21" s="2" t="n">
        <v>209671.18</v>
      </c>
      <c r="U21" s="2" t="n">
        <v>677231.35</v>
      </c>
      <c r="V21" s="2" t="n">
        <v>997283.0600000001</v>
      </c>
      <c r="Y21" s="2" t="n">
        <v>1645304.81</v>
      </c>
      <c r="Z21" s="2" t="n">
        <v>1693443.45</v>
      </c>
      <c r="AA21" s="2" t="n">
        <v>-0.01</v>
      </c>
      <c r="AB21" s="2" t="n">
        <v>290685.07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Y23" s="2" t="n">
        <v>24404</v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Y25" s="2" t="n">
        <v>101.97</v>
      </c>
      <c r="Z25" s="2" t="n">
        <v>-210.71</v>
      </c>
      <c r="AB25" s="2" t="n">
        <v>36.17</v>
      </c>
      <c r="AE25" s="10">
        <f>SUM(C25:AD25)</f>
        <v/>
      </c>
    </row>
    <row r="26">
      <c r="B26" t="inlineStr">
        <is>
          <t>Material 5003</t>
        </is>
      </c>
      <c r="Y26" s="2" t="n">
        <v>1626.87</v>
      </c>
      <c r="Z26" s="2" t="n">
        <v>-1931.21</v>
      </c>
      <c r="AB26" s="2" t="n">
        <v>3153.09</v>
      </c>
      <c r="AE26" s="10">
        <f>SUM(C26:AD26)</f>
        <v/>
      </c>
    </row>
    <row r="27">
      <c r="B27" t="inlineStr">
        <is>
          <t>Sub K Overhead 5992</t>
        </is>
      </c>
      <c r="R27" s="2" t="n">
        <v>5933.69</v>
      </c>
      <c r="U27" s="2" t="n">
        <v>20723.28</v>
      </c>
      <c r="V27" s="2" t="n">
        <v>30516.86</v>
      </c>
      <c r="Y27" s="2" t="n">
        <v>48207.43</v>
      </c>
      <c r="Z27" s="2" t="n">
        <v>49617.89</v>
      </c>
      <c r="AB27" s="2" t="n">
        <v>8807.76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X29" s="2" t="n">
        <v>725.86</v>
      </c>
      <c r="Y29" s="2" t="n">
        <v>259455.14</v>
      </c>
      <c r="Z29" s="2" t="n">
        <v>-247729.83</v>
      </c>
      <c r="AA29" s="2" t="n">
        <v>3002.26</v>
      </c>
      <c r="AB29" s="2" t="n">
        <v>57584.81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Q32" s="2" t="n">
        <v>7872.96</v>
      </c>
      <c r="R32" s="2" t="n">
        <v>7872.96</v>
      </c>
      <c r="S32" s="2" t="n">
        <v>7872.96</v>
      </c>
      <c r="T32" s="2" t="n">
        <v>7872.96</v>
      </c>
      <c r="U32" s="2" t="n">
        <v>7872.96</v>
      </c>
      <c r="V32" s="2" t="n">
        <v>7872.96</v>
      </c>
      <c r="W32" s="2" t="n">
        <v>7872.96</v>
      </c>
      <c r="X32" s="2" t="n">
        <v>7872.96</v>
      </c>
      <c r="Y32" s="2" t="n">
        <v>7872.96</v>
      </c>
      <c r="Z32" s="2" t="n">
        <v>5248.64</v>
      </c>
      <c r="AE32" s="10">
        <f>SUM(C32:AD32)</f>
        <v/>
      </c>
    </row>
    <row r="33">
      <c r="B33" t="inlineStr">
        <is>
          <t>Fringe 5990</t>
        </is>
      </c>
      <c r="Q33" s="2" t="n">
        <v>3955.35</v>
      </c>
      <c r="R33" s="2" t="n">
        <v>3955.35</v>
      </c>
      <c r="S33" s="2" t="n">
        <v>3955.35</v>
      </c>
      <c r="T33" s="2" t="n">
        <v>3955.35</v>
      </c>
      <c r="U33" s="2" t="n">
        <v>3955.35</v>
      </c>
      <c r="V33" s="2" t="n">
        <v>3955.35</v>
      </c>
      <c r="W33" s="2" t="n">
        <v>3955.35</v>
      </c>
      <c r="X33" s="2" t="n">
        <v>3955.35</v>
      </c>
      <c r="Y33" s="2" t="n">
        <v>3955.35</v>
      </c>
      <c r="Z33" s="2" t="n">
        <v>1318.45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Q35" s="2" t="n">
        <v>209670</v>
      </c>
      <c r="R35" s="2" t="n">
        <v>209670</v>
      </c>
      <c r="S35" s="2" t="n">
        <v>553149</v>
      </c>
      <c r="T35" s="2" t="n">
        <v>855117</v>
      </c>
      <c r="U35" s="2" t="n">
        <v>1003302</v>
      </c>
      <c r="V35" s="2" t="n">
        <v>1003302</v>
      </c>
      <c r="W35" s="2" t="n">
        <v>1003302</v>
      </c>
      <c r="X35" s="2" t="n">
        <v>1003302</v>
      </c>
      <c r="Y35" s="2" t="n">
        <v>1012023</v>
      </c>
      <c r="Z35" s="2" t="n">
        <v>668544</v>
      </c>
      <c r="AA35" s="2" t="n">
        <v>668544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Q41" s="2" t="n">
        <v>19338</v>
      </c>
      <c r="R41" s="2" t="n">
        <v>19338</v>
      </c>
      <c r="S41" s="2" t="n">
        <v>19338</v>
      </c>
      <c r="T41" s="2" t="n">
        <v>19338</v>
      </c>
      <c r="U41" s="2" t="n">
        <v>19338</v>
      </c>
      <c r="V41" s="2" t="n">
        <v>19338</v>
      </c>
      <c r="W41" s="2" t="n">
        <v>19338</v>
      </c>
      <c r="X41" s="2" t="n">
        <v>19338</v>
      </c>
      <c r="Y41" s="2" t="n">
        <v>19338</v>
      </c>
      <c r="Z41" s="2" t="n">
        <v>19338</v>
      </c>
      <c r="AA41" s="2" t="n">
        <v>12892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Q43" s="2" t="n">
        <v>15708.69</v>
      </c>
      <c r="R43" s="2" t="n">
        <v>15708.69</v>
      </c>
      <c r="S43" s="2" t="n">
        <v>15708.69</v>
      </c>
      <c r="T43" s="2" t="n">
        <v>15708.69</v>
      </c>
      <c r="U43" s="2" t="n">
        <v>15708.69</v>
      </c>
      <c r="V43" s="2" t="n">
        <v>15708.69</v>
      </c>
      <c r="W43" s="2" t="n">
        <v>15708.69</v>
      </c>
      <c r="X43" s="2" t="n">
        <v>15708.69</v>
      </c>
      <c r="Y43" s="2" t="n">
        <v>15708.69</v>
      </c>
      <c r="Z43" s="2" t="n">
        <v>5236.23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Q45" s="2" t="n">
        <v>9600000</v>
      </c>
      <c r="AE45" s="10">
        <f>SUM(C45:AD45)</f>
        <v/>
      </c>
    </row>
    <row r="46">
      <c r="B46" t="inlineStr">
        <is>
          <t>Obligated</t>
        </is>
      </c>
      <c r="Q46" s="2" t="n">
        <v>9600000</v>
      </c>
      <c r="AE46" s="10">
        <f>SUM(C46:AD46)</f>
        <v/>
      </c>
    </row>
    <row r="47">
      <c r="B47" t="inlineStr">
        <is>
          <t>Expended</t>
        </is>
      </c>
      <c r="R47" s="2" t="n">
        <v>2625914.0997067</v>
      </c>
      <c r="T47" s="2" t="n">
        <v>3200000</v>
      </c>
      <c r="W47" s="2" t="n">
        <v>1000000</v>
      </c>
      <c r="X47" s="2" t="n">
        <v>750000</v>
      </c>
      <c r="Y47" s="2" t="n">
        <v>1000000</v>
      </c>
      <c r="AA47" s="2" t="n">
        <v>1024085.9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2ADP062</t>
        </is>
      </c>
    </row>
    <row r="4">
      <c r="A4" s="1" t="inlineStr">
        <is>
          <t>ROLLUP #</t>
        </is>
      </c>
      <c r="B4" t="inlineStr">
        <is>
          <t>1062</t>
        </is>
      </c>
    </row>
    <row r="5">
      <c r="A5" s="1" t="inlineStr">
        <is>
          <t>PROJECT NAME</t>
        </is>
      </c>
      <c r="B5" t="inlineStr">
        <is>
          <t>Building the Defense Innovation Bases Advanced Manufacturing Workforce Program OSD EWD Phase III</t>
        </is>
      </c>
    </row>
    <row r="6">
      <c r="A6" s="1" t="inlineStr">
        <is>
          <t>TECHNICAL POINT OF CONTACT</t>
        </is>
      </c>
      <c r="B6" t="inlineStr">
        <is>
          <t>Charlene Stokes</t>
        </is>
      </c>
    </row>
    <row r="7">
      <c r="A7" s="1" t="inlineStr">
        <is>
          <t>PROJECT TYPE</t>
        </is>
      </c>
      <c r="B7" t="inlineStr">
        <is>
          <t>ADP-EWD, ADP-EWD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CY,CX,DA</t>
        </is>
      </c>
    </row>
    <row r="11">
      <c r="A11" s="1" t="inlineStr">
        <is>
          <t>AVAILABLE FUNDS</t>
        </is>
      </c>
      <c r="B11" s="2" t="n">
        <v>429519.36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Q18" s="2" t="n">
        <v>1295.52</v>
      </c>
      <c r="R18" s="2" t="n">
        <v>4603.92</v>
      </c>
      <c r="S18" s="2" t="n">
        <v>1957.06</v>
      </c>
      <c r="T18" s="2" t="n">
        <v>3992.39</v>
      </c>
      <c r="U18" s="2" t="n">
        <v>13581.14</v>
      </c>
      <c r="V18" s="2" t="n">
        <v>14349.67</v>
      </c>
      <c r="W18" s="2" t="n">
        <v>21593.78</v>
      </c>
      <c r="X18" s="2" t="n">
        <v>25528.92</v>
      </c>
      <c r="Y18" s="2" t="n">
        <v>1641.92</v>
      </c>
      <c r="Z18" s="2" t="n">
        <v>2688.46</v>
      </c>
      <c r="AA18" s="2" t="n">
        <v>14449.15</v>
      </c>
      <c r="AB18" s="2" t="n">
        <v>27071.81</v>
      </c>
      <c r="AE18" s="10">
        <f>SUM(C18:AD18)</f>
        <v/>
      </c>
    </row>
    <row r="19">
      <c r="B19" t="inlineStr">
        <is>
          <t>Fringe 5990</t>
        </is>
      </c>
      <c r="Q19" s="2" t="n">
        <v>586.61</v>
      </c>
      <c r="R19" s="2" t="n">
        <v>2084.66</v>
      </c>
      <c r="S19" s="2" t="n">
        <v>886.15</v>
      </c>
      <c r="T19" s="2" t="n">
        <v>1975.52</v>
      </c>
      <c r="U19" s="2" t="n">
        <v>6532.53</v>
      </c>
      <c r="V19" s="2" t="n">
        <v>6902.19</v>
      </c>
      <c r="W19" s="2" t="n">
        <v>10853.03</v>
      </c>
      <c r="X19" s="2" t="n">
        <v>12830.85</v>
      </c>
      <c r="Y19" s="2" t="n">
        <v>825.23</v>
      </c>
      <c r="Z19" s="2" t="n">
        <v>1351.22</v>
      </c>
      <c r="AA19" s="2" t="n">
        <v>7821.32</v>
      </c>
      <c r="AB19" s="2" t="n">
        <v>14584.75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R21" s="2" t="n">
        <v>41727.62</v>
      </c>
      <c r="S21" s="2" t="n">
        <v>621307.5600000001</v>
      </c>
      <c r="T21" s="2" t="n">
        <v>648551.49</v>
      </c>
      <c r="U21" s="2" t="n">
        <v>601378.85</v>
      </c>
      <c r="V21" s="2" t="n">
        <v>1220105.06</v>
      </c>
      <c r="W21" s="2" t="n">
        <v>163073.72</v>
      </c>
      <c r="X21" s="2" t="n">
        <v>698326.4</v>
      </c>
      <c r="Y21" s="2" t="n">
        <v>262260.6</v>
      </c>
      <c r="Z21" s="2" t="n">
        <v>-31297.93</v>
      </c>
      <c r="AE21" s="10">
        <f>SUM(C21:AD21)</f>
        <v/>
      </c>
    </row>
    <row r="22">
      <c r="B22" t="inlineStr">
        <is>
          <t>Consulting 5002</t>
        </is>
      </c>
      <c r="AA22" s="2" t="n">
        <v>9975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R25" s="2" t="n">
        <v>25.16</v>
      </c>
      <c r="V25" s="2" t="n">
        <v>411.26</v>
      </c>
      <c r="W25" s="2" t="n">
        <v>600</v>
      </c>
      <c r="X25" s="2" t="n">
        <v>45000</v>
      </c>
      <c r="AE25" s="10">
        <f>SUM(C25:AD25)</f>
        <v/>
      </c>
    </row>
    <row r="26">
      <c r="B26" t="inlineStr">
        <is>
          <t>Material 5003</t>
        </is>
      </c>
      <c r="X26" s="2" t="n">
        <v>60</v>
      </c>
      <c r="AE26" s="10">
        <f>SUM(C26:AD26)</f>
        <v/>
      </c>
    </row>
    <row r="27">
      <c r="B27" t="inlineStr">
        <is>
          <t>Sub K Overhead 5992</t>
        </is>
      </c>
      <c r="R27" s="2" t="n">
        <v>1180.89</v>
      </c>
      <c r="S27" s="2" t="n">
        <v>17583</v>
      </c>
      <c r="T27" s="2" t="n">
        <v>21274.68</v>
      </c>
      <c r="U27" s="2" t="n">
        <v>18402.21</v>
      </c>
      <c r="V27" s="2" t="n">
        <v>37335.2</v>
      </c>
      <c r="W27" s="2" t="n">
        <v>4778.06</v>
      </c>
      <c r="X27" s="2" t="n">
        <v>20460.98</v>
      </c>
      <c r="Y27" s="2" t="n">
        <v>7684.23</v>
      </c>
      <c r="Z27" s="2" t="n">
        <v>-917.03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Q29" s="2" t="n">
        <v>2723.82</v>
      </c>
      <c r="R29" s="2" t="n">
        <v>9716.110000000001</v>
      </c>
      <c r="S29" s="2" t="n">
        <v>4114.69</v>
      </c>
      <c r="T29" s="2" t="n">
        <v>7462.24</v>
      </c>
      <c r="U29" s="2" t="n">
        <v>26427.34</v>
      </c>
      <c r="V29" s="2" t="n">
        <v>28463.18</v>
      </c>
      <c r="W29" s="2" t="n">
        <v>43882.85</v>
      </c>
      <c r="X29" s="2" t="n">
        <v>110773.11</v>
      </c>
      <c r="Y29" s="2" t="n">
        <v>3276.13</v>
      </c>
      <c r="Z29" s="2" t="n">
        <v>5364.29</v>
      </c>
      <c r="AA29" s="2" t="n">
        <v>43937.68</v>
      </c>
      <c r="AB29" s="2" t="n">
        <v>56586.99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R32" s="2" t="n">
        <v>8859.389999999999</v>
      </c>
      <c r="S32" s="2" t="n">
        <v>9745.110000000001</v>
      </c>
      <c r="T32" s="2" t="n">
        <v>10426.89</v>
      </c>
      <c r="U32" s="2" t="n">
        <v>10450.68</v>
      </c>
      <c r="AE32" s="10">
        <f>SUM(C32:AD32)</f>
        <v/>
      </c>
    </row>
    <row r="33">
      <c r="B33" t="inlineStr">
        <is>
          <t>Fringe 5990</t>
        </is>
      </c>
      <c r="R33" s="2" t="n">
        <v>4011.54</v>
      </c>
      <c r="S33" s="2" t="n">
        <v>4412.58</v>
      </c>
      <c r="T33" s="2" t="n">
        <v>4721.31</v>
      </c>
      <c r="U33" s="2" t="n">
        <v>4732.08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R35" s="2" t="n">
        <v>255702.02</v>
      </c>
      <c r="S35" s="2" t="n">
        <v>1174218.85</v>
      </c>
      <c r="T35" s="2" t="n">
        <v>1190154.96</v>
      </c>
      <c r="U35" s="2" t="n">
        <v>1244237.33</v>
      </c>
      <c r="V35" s="2" t="n">
        <v>965102.8100000001</v>
      </c>
      <c r="W35" s="2" t="n">
        <v>405584.22</v>
      </c>
      <c r="X35" s="2" t="n">
        <v>314767.83</v>
      </c>
      <c r="Y35" s="2" t="n">
        <v>225184.65</v>
      </c>
      <c r="Z35" s="2" t="n">
        <v>6959.52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T39" s="2" t="n">
        <v>54999.99</v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R41" s="2" t="n">
        <v>7235.67</v>
      </c>
      <c r="S41" s="2" t="n">
        <v>33228.29</v>
      </c>
      <c r="T41" s="2" t="n">
        <v>33862.87</v>
      </c>
      <c r="U41" s="2" t="n">
        <v>40266.64</v>
      </c>
      <c r="V41" s="2" t="n">
        <v>28301.94</v>
      </c>
      <c r="W41" s="2" t="n">
        <v>17581.9</v>
      </c>
      <c r="X41" s="2" t="n">
        <v>9322.950000000001</v>
      </c>
      <c r="Y41" s="2" t="n">
        <v>6781.56</v>
      </c>
      <c r="Z41" s="2" t="n">
        <v>211.92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R43" s="2" t="n">
        <v>18626.82</v>
      </c>
      <c r="S43" s="2" t="n">
        <v>20489.01</v>
      </c>
      <c r="T43" s="2" t="n">
        <v>101518.11</v>
      </c>
      <c r="U43" s="2" t="n">
        <v>21972.48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Q45" s="2" t="n">
        <v>7532011.220000001</v>
      </c>
      <c r="AE45" s="10">
        <f>SUM(C45:AD45)</f>
        <v/>
      </c>
    </row>
    <row r="46">
      <c r="B46" t="inlineStr">
        <is>
          <t>Obligated</t>
        </is>
      </c>
      <c r="Q46" s="2" t="n">
        <v>7532011.220000001</v>
      </c>
      <c r="AE46" s="10">
        <f>SUM(C46:AD46)</f>
        <v/>
      </c>
    </row>
    <row r="47">
      <c r="B47" t="inlineStr">
        <is>
          <t>Expended</t>
        </is>
      </c>
      <c r="S47" s="2" t="n">
        <v>1050000</v>
      </c>
      <c r="T47" s="2" t="n">
        <v>1056671.22</v>
      </c>
      <c r="U47" s="2" t="n">
        <v>1800000</v>
      </c>
      <c r="V47" s="2" t="n">
        <v>1300000</v>
      </c>
      <c r="W47" s="2" t="n">
        <v>2000000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2ADP063</t>
        </is>
      </c>
    </row>
    <row r="4">
      <c r="A4" s="1" t="inlineStr">
        <is>
          <t>ROLLUP #</t>
        </is>
      </c>
      <c r="B4" t="inlineStr">
        <is>
          <t>1063</t>
        </is>
      </c>
    </row>
    <row r="5">
      <c r="A5" s="1" t="inlineStr">
        <is>
          <t>PROJECT NAME</t>
        </is>
      </c>
      <c r="B5" t="inlineStr">
        <is>
          <t>Austere field Repair Point of Need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CX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Q18" s="2" t="n">
        <v>211.15</v>
      </c>
      <c r="R18" s="2" t="n">
        <v>21907.87</v>
      </c>
      <c r="S18" s="2" t="n">
        <v>28921.82</v>
      </c>
      <c r="Z18" s="2" t="n">
        <v>1046.47</v>
      </c>
      <c r="AE18" s="10">
        <f>SUM(C18:AD18)</f>
        <v/>
      </c>
    </row>
    <row r="19">
      <c r="B19" t="inlineStr">
        <is>
          <t>Fringe 5990</t>
        </is>
      </c>
      <c r="Q19" s="2" t="n">
        <v>95.61</v>
      </c>
      <c r="R19" s="2" t="n">
        <v>9919.889999999999</v>
      </c>
      <c r="S19" s="2" t="n">
        <v>13095.8</v>
      </c>
      <c r="T19" s="2" t="n">
        <v>815.59</v>
      </c>
      <c r="U19" s="2" t="n">
        <v>-14838.94</v>
      </c>
      <c r="Z19" s="2" t="n">
        <v>525.96</v>
      </c>
      <c r="AE19" s="10">
        <f>SUM(C19:AD19)</f>
        <v/>
      </c>
    </row>
    <row r="20">
      <c r="B20" t="inlineStr">
        <is>
          <t>Travel 5004</t>
        </is>
      </c>
      <c r="S20" s="2" t="n">
        <v>2211.35</v>
      </c>
      <c r="V20" s="2" t="n">
        <v>778.49</v>
      </c>
      <c r="AE20" s="10">
        <f>SUM(C20:AD20)</f>
        <v/>
      </c>
    </row>
    <row r="21">
      <c r="B21" t="inlineStr">
        <is>
          <t>Subcontracting 5005</t>
        </is>
      </c>
      <c r="R21" s="2" t="n">
        <v>108286.6</v>
      </c>
      <c r="S21" s="2" t="n">
        <v>186995.67</v>
      </c>
      <c r="T21" s="2" t="n">
        <v>54712.53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R25" s="2" t="n">
        <v>33.19</v>
      </c>
      <c r="S25" s="2" t="n">
        <v>51.86</v>
      </c>
      <c r="AE25" s="10">
        <f>SUM(C25:AD25)</f>
        <v/>
      </c>
    </row>
    <row r="26">
      <c r="B26" t="inlineStr">
        <is>
          <t>Material 5003</t>
        </is>
      </c>
      <c r="R26" s="2" t="n">
        <v>1325.63</v>
      </c>
      <c r="S26" s="2" t="n">
        <v>2611.16</v>
      </c>
      <c r="AE26" s="10">
        <f>SUM(C26:AD26)</f>
        <v/>
      </c>
    </row>
    <row r="27">
      <c r="B27" t="inlineStr">
        <is>
          <t>Sub K Overhead 5992</t>
        </is>
      </c>
      <c r="R27" s="2" t="n">
        <v>3064.51</v>
      </c>
      <c r="S27" s="2" t="n">
        <v>5291.98</v>
      </c>
      <c r="T27" s="2" t="n">
        <v>2104.29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Q29" s="2" t="n">
        <v>443.94</v>
      </c>
      <c r="R29" s="2" t="n">
        <v>48027.61</v>
      </c>
      <c r="S29" s="2" t="n">
        <v>67862.06</v>
      </c>
      <c r="T29" s="2" t="n">
        <v>-5179.1</v>
      </c>
      <c r="U29" s="2" t="n">
        <v>-44549.38</v>
      </c>
      <c r="V29" s="2" t="n">
        <v>1022.86</v>
      </c>
      <c r="Z29" s="2" t="n">
        <v>2088.03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Q32" s="2" t="n">
        <v>3689.97</v>
      </c>
      <c r="R32" s="2" t="n">
        <v>11069.91</v>
      </c>
      <c r="S32" s="2" t="n">
        <v>11069.91</v>
      </c>
      <c r="T32" s="2" t="n">
        <v>7379.94</v>
      </c>
      <c r="AE32" s="10">
        <f>SUM(C32:AD32)</f>
        <v/>
      </c>
    </row>
    <row r="33">
      <c r="B33" t="inlineStr">
        <is>
          <t>Fringe 5990</t>
        </is>
      </c>
      <c r="Q33" s="2" t="n">
        <v>1670.82</v>
      </c>
      <c r="R33" s="2" t="n">
        <v>5012.46</v>
      </c>
      <c r="S33" s="2" t="n">
        <v>5012.46</v>
      </c>
      <c r="T33" s="2" t="n">
        <v>3341.64</v>
      </c>
      <c r="AE33" s="10">
        <f>SUM(C33:AD33)</f>
        <v/>
      </c>
    </row>
    <row r="34">
      <c r="B34" t="inlineStr">
        <is>
          <t>Travel 5004</t>
        </is>
      </c>
      <c r="R34" s="2" t="n">
        <v>3999.99</v>
      </c>
      <c r="AE34" s="10">
        <f>SUM(C34:AD34)</f>
        <v/>
      </c>
    </row>
    <row r="35">
      <c r="B35" t="inlineStr">
        <is>
          <t>Subcontracting 5005</t>
        </is>
      </c>
      <c r="Q35" s="2" t="n">
        <v>38888.89</v>
      </c>
      <c r="R35" s="2" t="n">
        <v>116666.67</v>
      </c>
      <c r="S35" s="2" t="n">
        <v>116666.67</v>
      </c>
      <c r="T35" s="2" t="n">
        <v>77777.78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R40" s="2" t="n">
        <v>2499.99</v>
      </c>
      <c r="S40" s="2" t="n">
        <v>2499.99</v>
      </c>
      <c r="AE40" s="10">
        <f>SUM(C40:AD40)</f>
        <v/>
      </c>
    </row>
    <row r="41">
      <c r="B41" t="inlineStr">
        <is>
          <t>Sub K Overhead 5992</t>
        </is>
      </c>
      <c r="Q41" s="2" t="n">
        <v>1100.56</v>
      </c>
      <c r="R41" s="2" t="n">
        <v>3301.68</v>
      </c>
      <c r="S41" s="2" t="n">
        <v>3301.68</v>
      </c>
      <c r="T41" s="2" t="n">
        <v>2201.57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Q43" s="2" t="n">
        <v>9205.32</v>
      </c>
      <c r="R43" s="2" t="n">
        <v>27615.96</v>
      </c>
      <c r="S43" s="2" t="n">
        <v>27615.96</v>
      </c>
      <c r="T43" s="2" t="n">
        <v>18410.19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Q45" s="2" t="n">
        <v>500000</v>
      </c>
      <c r="AE45" s="10">
        <f>SUM(C45:AD45)</f>
        <v/>
      </c>
    </row>
    <row r="46">
      <c r="B46" t="inlineStr">
        <is>
          <t>Obligated</t>
        </is>
      </c>
      <c r="Q46" s="2" t="n">
        <v>500000</v>
      </c>
      <c r="AE46" s="10">
        <f>SUM(C46:AD46)</f>
        <v/>
      </c>
    </row>
    <row r="47">
      <c r="B47" t="inlineStr">
        <is>
          <t>Expended</t>
        </is>
      </c>
      <c r="R47" s="2" t="n">
        <v>500000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2ADP064</t>
        </is>
      </c>
    </row>
    <row r="4">
      <c r="A4" s="1" t="inlineStr">
        <is>
          <t>ROLLUP #</t>
        </is>
      </c>
      <c r="B4" t="inlineStr">
        <is>
          <t>1064</t>
        </is>
      </c>
    </row>
    <row r="5">
      <c r="A5" s="1" t="inlineStr">
        <is>
          <t>PROJECT NAME</t>
        </is>
      </c>
      <c r="B5" t="inlineStr">
        <is>
          <t>OSD Hybrid Electronic CII FY23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ADP-Tech, PC ADP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DB</t>
        </is>
      </c>
    </row>
    <row r="11">
      <c r="A11" s="1" t="inlineStr">
        <is>
          <t>AVAILABLE FUNDS</t>
        </is>
      </c>
      <c r="B11" s="2" t="n">
        <v>515963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V18" s="2" t="n">
        <v>28565.93</v>
      </c>
      <c r="W18" s="2" t="n">
        <v>45734.57</v>
      </c>
      <c r="X18" s="2" t="n">
        <v>92740.56</v>
      </c>
      <c r="Y18" s="2" t="n">
        <v>83451.89</v>
      </c>
      <c r="Z18" s="2" t="n">
        <v>46907.42</v>
      </c>
      <c r="AA18" s="2" t="n">
        <v>57218.2</v>
      </c>
      <c r="AB18" s="2" t="n">
        <v>34093.11</v>
      </c>
      <c r="AE18" s="10">
        <f>SUM(C18:AD18)</f>
        <v/>
      </c>
    </row>
    <row r="19">
      <c r="B19" t="inlineStr">
        <is>
          <t>Fringe 5990</t>
        </is>
      </c>
      <c r="V19" s="2" t="n">
        <v>13740.21</v>
      </c>
      <c r="W19" s="2" t="n">
        <v>22986.2</v>
      </c>
      <c r="X19" s="2" t="n">
        <v>46611.4</v>
      </c>
      <c r="Y19" s="2" t="n">
        <v>41942.92</v>
      </c>
      <c r="Z19" s="2" t="n">
        <v>23575.67</v>
      </c>
      <c r="AA19" s="2" t="n">
        <v>30972.22</v>
      </c>
      <c r="AB19" s="2" t="n">
        <v>18482.61</v>
      </c>
      <c r="AE19" s="10">
        <f>SUM(C19:AD19)</f>
        <v/>
      </c>
    </row>
    <row r="20">
      <c r="B20" t="inlineStr">
        <is>
          <t>Travel 5004</t>
        </is>
      </c>
      <c r="X20" s="2" t="n">
        <v>2239.33</v>
      </c>
      <c r="Y20" s="2" t="n">
        <v>1987.51</v>
      </c>
      <c r="Z20" s="2" t="n">
        <v>1165.32</v>
      </c>
      <c r="AB20" s="2" t="n">
        <v>1581.08</v>
      </c>
      <c r="AE20" s="10">
        <f>SUM(C20:AD20)</f>
        <v/>
      </c>
    </row>
    <row r="21">
      <c r="B21" t="inlineStr">
        <is>
          <t>Subcontracting 5005</t>
        </is>
      </c>
      <c r="S21" s="2" t="n">
        <v>8862.74</v>
      </c>
      <c r="T21" s="2" t="n">
        <v>7844</v>
      </c>
      <c r="U21" s="2" t="n">
        <v>126.91</v>
      </c>
      <c r="V21" s="2" t="n">
        <v>14416.65</v>
      </c>
      <c r="X21" s="2" t="n">
        <v>101190.32</v>
      </c>
      <c r="Y21" s="2" t="n">
        <v>61939.74</v>
      </c>
      <c r="Z21" s="2" t="n">
        <v>577217.66</v>
      </c>
      <c r="AB21" s="2" t="n">
        <v>64702.54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X25" s="2" t="n">
        <v>57.11</v>
      </c>
      <c r="Z25" s="2" t="n">
        <v>52.05</v>
      </c>
      <c r="AB25" s="2" t="n">
        <v>1450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S27" s="2" t="n">
        <v>250.82</v>
      </c>
      <c r="T27" s="2" t="n">
        <v>260.41</v>
      </c>
      <c r="U27" s="2" t="n">
        <v>3.88</v>
      </c>
      <c r="V27" s="2" t="n">
        <v>441.16</v>
      </c>
      <c r="X27" s="2" t="n">
        <v>2964.88</v>
      </c>
      <c r="Y27" s="2" t="n">
        <v>1814.84</v>
      </c>
      <c r="Z27" s="2" t="n">
        <v>16912.48</v>
      </c>
      <c r="AB27" s="2" t="n">
        <v>1960.48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V29" s="2" t="n">
        <v>55586.04</v>
      </c>
      <c r="W29" s="2" t="n">
        <v>91254.31</v>
      </c>
      <c r="X29" s="2" t="n">
        <v>188094.92</v>
      </c>
      <c r="Y29" s="2" t="n">
        <v>169150.98</v>
      </c>
      <c r="Z29" s="2" t="n">
        <v>95211.03</v>
      </c>
      <c r="AA29" s="2" t="n">
        <v>120168.28</v>
      </c>
      <c r="AB29" s="2" t="n">
        <v>75840.34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V32" s="2" t="n">
        <v>40600</v>
      </c>
      <c r="W32" s="2" t="n">
        <v>60900</v>
      </c>
      <c r="X32" s="2" t="n">
        <v>81018</v>
      </c>
      <c r="Y32" s="2" t="n">
        <v>81018</v>
      </c>
      <c r="Z32" s="2" t="n">
        <v>81018</v>
      </c>
      <c r="AA32" s="2" t="n">
        <v>81018</v>
      </c>
      <c r="AB32" s="2" t="n">
        <v>81018</v>
      </c>
      <c r="AC32" s="2" t="n">
        <v>81005</v>
      </c>
      <c r="AE32" s="10">
        <f>SUM(C32:AD32)</f>
        <v/>
      </c>
    </row>
    <row r="33">
      <c r="B33" t="inlineStr">
        <is>
          <t>Fringe 5990</t>
        </is>
      </c>
      <c r="V33" s="2" t="n">
        <v>19528</v>
      </c>
      <c r="W33" s="2" t="n">
        <v>29292</v>
      </c>
      <c r="X33" s="2" t="n">
        <v>39402</v>
      </c>
      <c r="Y33" s="2" t="n">
        <v>39402</v>
      </c>
      <c r="Z33" s="2" t="n">
        <v>39402</v>
      </c>
      <c r="AA33" s="2" t="n">
        <v>39402</v>
      </c>
      <c r="AB33" s="2" t="n">
        <v>39402</v>
      </c>
      <c r="AC33" s="2" t="n">
        <v>39410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R35" s="2" t="n">
        <v>27272.36</v>
      </c>
      <c r="S35" s="2" t="n">
        <v>82837.08</v>
      </c>
      <c r="T35" s="2" t="n">
        <v>84396.09</v>
      </c>
      <c r="U35" s="2" t="n">
        <v>84454.11</v>
      </c>
      <c r="V35" s="2" t="n">
        <v>84935.10000000001</v>
      </c>
      <c r="W35" s="2" t="n">
        <v>74934.87</v>
      </c>
      <c r="X35" s="2" t="n">
        <v>132504.45</v>
      </c>
      <c r="Y35" s="2" t="n">
        <v>238579</v>
      </c>
      <c r="Z35" s="2" t="n">
        <v>343839</v>
      </c>
      <c r="AA35" s="2" t="n">
        <v>343839</v>
      </c>
      <c r="AB35" s="2" t="n">
        <v>343839</v>
      </c>
      <c r="AC35" s="2" t="n">
        <v>236838</v>
      </c>
      <c r="AD35" s="2" t="n">
        <v>236838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R41" s="2" t="n">
        <v>771.8099999999999</v>
      </c>
      <c r="S41" s="2" t="n">
        <v>2344.29</v>
      </c>
      <c r="T41" s="2" t="n">
        <v>2388.4</v>
      </c>
      <c r="U41" s="2" t="n">
        <v>2390.05</v>
      </c>
      <c r="V41" s="2" t="n">
        <v>2403.67</v>
      </c>
      <c r="W41" s="2" t="n">
        <v>3270.66</v>
      </c>
      <c r="X41" s="2" t="n">
        <v>3823.12</v>
      </c>
      <c r="Y41" s="2" t="n">
        <v>6993</v>
      </c>
      <c r="Z41" s="2" t="n">
        <v>10077</v>
      </c>
      <c r="AA41" s="2" t="n">
        <v>10077</v>
      </c>
      <c r="AB41" s="2" t="n">
        <v>10083</v>
      </c>
      <c r="AC41" s="2" t="n">
        <v>6939</v>
      </c>
      <c r="AD41" s="2" t="n">
        <v>6939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V43" s="2" t="n">
        <v>79002</v>
      </c>
      <c r="W43" s="2" t="n">
        <v>118503</v>
      </c>
      <c r="X43" s="2" t="n">
        <v>158643</v>
      </c>
      <c r="Y43" s="2" t="n">
        <v>158643</v>
      </c>
      <c r="Z43" s="2" t="n">
        <v>158643</v>
      </c>
      <c r="AA43" s="2" t="n">
        <v>158643</v>
      </c>
      <c r="AB43" s="2" t="n">
        <v>158643</v>
      </c>
      <c r="AC43" s="2" t="n">
        <v>158639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R45" s="2" t="n">
        <v>5520000</v>
      </c>
      <c r="AE45" s="10">
        <f>SUM(C45:AD45)</f>
        <v/>
      </c>
    </row>
    <row r="46">
      <c r="B46" t="inlineStr">
        <is>
          <t>Obligated</t>
        </is>
      </c>
      <c r="R46" s="2" t="n">
        <v>5520000</v>
      </c>
      <c r="AE46" s="10">
        <f>SUM(C46:AD46)</f>
        <v/>
      </c>
    </row>
    <row r="47">
      <c r="B47" t="inlineStr">
        <is>
          <t>Expended</t>
        </is>
      </c>
      <c r="S47" s="2" t="n">
        <v>460000</v>
      </c>
      <c r="T47" s="2" t="n">
        <v>350000</v>
      </c>
      <c r="U47" s="2" t="n">
        <v>100000</v>
      </c>
      <c r="V47" s="2" t="n">
        <v>500000</v>
      </c>
      <c r="W47" s="2" t="n">
        <v>1600000</v>
      </c>
      <c r="X47" s="2" t="n">
        <v>700000</v>
      </c>
      <c r="AA47" s="2" t="n">
        <v>500000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2ADP065</t>
        </is>
      </c>
    </row>
    <row r="4">
      <c r="A4" s="1" t="inlineStr">
        <is>
          <t>ROLLUP #</t>
        </is>
      </c>
      <c r="B4" t="inlineStr">
        <is>
          <t>1065</t>
        </is>
      </c>
    </row>
    <row r="5">
      <c r="A5" s="1" t="inlineStr">
        <is>
          <t>PROJECT NAME</t>
        </is>
      </c>
      <c r="B5" t="inlineStr">
        <is>
          <t>NSIN Hacking For Defense FY 2023</t>
        </is>
      </c>
    </row>
    <row r="6">
      <c r="A6" s="1" t="inlineStr">
        <is>
          <t>TECHNICAL POINT OF CONTACT</t>
        </is>
      </c>
      <c r="B6" t="inlineStr">
        <is>
          <t>Cassie Muffley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DC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R18" s="2" t="n">
        <v>4276.92</v>
      </c>
      <c r="S18" s="2" t="n">
        <v>7362.26</v>
      </c>
      <c r="T18" s="2" t="n">
        <v>2232.59</v>
      </c>
      <c r="U18" s="2" t="n">
        <v>13096.85</v>
      </c>
      <c r="V18" s="2" t="n">
        <v>15282.9</v>
      </c>
      <c r="W18" s="2" t="n">
        <v>7257.01</v>
      </c>
      <c r="AE18" s="10">
        <f>SUM(C18:AD18)</f>
        <v/>
      </c>
    </row>
    <row r="19">
      <c r="B19" t="inlineStr">
        <is>
          <t>Fringe 5990</t>
        </is>
      </c>
      <c r="R19" s="2" t="n">
        <v>1936.59</v>
      </c>
      <c r="S19" s="2" t="n">
        <v>3333.62</v>
      </c>
      <c r="T19" s="2" t="n">
        <v>1281.49</v>
      </c>
      <c r="U19" s="2" t="n">
        <v>6299.59</v>
      </c>
      <c r="V19" s="2" t="n">
        <v>7351.07</v>
      </c>
      <c r="W19" s="2" t="n">
        <v>3647.37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R21" s="2" t="n">
        <v>686988.51</v>
      </c>
      <c r="S21" s="2" t="n">
        <v>684463.23</v>
      </c>
      <c r="T21" s="2" t="n">
        <v>446139.68</v>
      </c>
      <c r="U21" s="2" t="n">
        <v>884183</v>
      </c>
      <c r="V21" s="2" t="n">
        <v>43225.58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V25" s="2" t="n">
        <v>197.87</v>
      </c>
      <c r="AE25" s="10">
        <f>SUM(C25:AD25)</f>
        <v/>
      </c>
    </row>
    <row r="26">
      <c r="B26" t="inlineStr">
        <is>
          <t>Material 5003</t>
        </is>
      </c>
      <c r="V26" s="2" t="n">
        <v>2528</v>
      </c>
      <c r="AE26" s="10">
        <f>SUM(C26:AD26)</f>
        <v/>
      </c>
    </row>
    <row r="27">
      <c r="B27" t="inlineStr">
        <is>
          <t>Sub K Overhead 5992</t>
        </is>
      </c>
      <c r="R27" s="2" t="n">
        <v>19441.77</v>
      </c>
      <c r="S27" s="2" t="n">
        <v>19370.31</v>
      </c>
      <c r="T27" s="2" t="n">
        <v>15226.14</v>
      </c>
      <c r="U27" s="2" t="n">
        <v>27056</v>
      </c>
      <c r="V27" s="2" t="n">
        <v>1322.71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R29" s="2" t="n">
        <v>8992.18</v>
      </c>
      <c r="S29" s="2" t="n">
        <v>15479.07</v>
      </c>
      <c r="T29" s="2" t="n">
        <v>3191.4</v>
      </c>
      <c r="U29" s="2" t="n">
        <v>21035.89</v>
      </c>
      <c r="V29" s="2" t="n">
        <v>33320.29</v>
      </c>
      <c r="W29" s="2" t="n">
        <v>14479.93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Q32" s="2" t="n">
        <v>4154.52</v>
      </c>
      <c r="R32" s="2" t="n">
        <v>12463.56</v>
      </c>
      <c r="S32" s="2" t="n">
        <v>12463.56</v>
      </c>
      <c r="T32" s="2" t="n">
        <v>12463.56</v>
      </c>
      <c r="U32" s="2" t="n">
        <v>8309.040000000001</v>
      </c>
      <c r="AE32" s="10">
        <f>SUM(C32:AD32)</f>
        <v/>
      </c>
    </row>
    <row r="33">
      <c r="B33" t="inlineStr">
        <is>
          <t>Fringe 5990</t>
        </is>
      </c>
      <c r="Q33" s="2" t="n">
        <v>1881.17</v>
      </c>
      <c r="R33" s="2" t="n">
        <v>5643.51</v>
      </c>
      <c r="S33" s="2" t="n">
        <v>5643.51</v>
      </c>
      <c r="T33" s="2" t="n">
        <v>5643.51</v>
      </c>
      <c r="U33" s="2" t="n">
        <v>3762.34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Q35" s="2" t="n">
        <v>274048.84</v>
      </c>
      <c r="R35" s="2" t="n">
        <v>732919.54</v>
      </c>
      <c r="S35" s="2" t="n">
        <v>641153.72</v>
      </c>
      <c r="T35" s="2" t="n">
        <v>727639.3</v>
      </c>
      <c r="U35" s="2" t="n">
        <v>369238.6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Q41" s="2" t="n">
        <v>7755.58</v>
      </c>
      <c r="R41" s="2" t="n">
        <v>20741.62</v>
      </c>
      <c r="S41" s="2" t="n">
        <v>18144.65</v>
      </c>
      <c r="T41" s="2" t="n">
        <v>20592.19</v>
      </c>
      <c r="U41" s="2" t="n">
        <v>10449.95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Q43" s="2" t="n">
        <v>8740.67</v>
      </c>
      <c r="R43" s="2" t="n">
        <v>26222.01</v>
      </c>
      <c r="S43" s="2" t="n">
        <v>26222.01</v>
      </c>
      <c r="T43" s="2" t="n">
        <v>26222.01</v>
      </c>
      <c r="U43" s="2" t="n">
        <v>17481.14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Q45" s="2" t="n">
        <v>3000000</v>
      </c>
      <c r="AE45" s="10">
        <f>SUM(C45:AD45)</f>
        <v/>
      </c>
    </row>
    <row r="46">
      <c r="B46" t="inlineStr">
        <is>
          <t>Obligated</t>
        </is>
      </c>
      <c r="Q46" s="2" t="n">
        <v>3000000</v>
      </c>
      <c r="AE46" s="10">
        <f>SUM(C46:AD46)</f>
        <v/>
      </c>
    </row>
    <row r="47">
      <c r="B47" t="inlineStr">
        <is>
          <t>Expended</t>
        </is>
      </c>
      <c r="S47" s="2" t="n">
        <v>2000000</v>
      </c>
      <c r="T47" s="2" t="n">
        <v>1000000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2ADP066</t>
        </is>
      </c>
    </row>
    <row r="4">
      <c r="A4" s="1" t="inlineStr">
        <is>
          <t>ROLLUP #</t>
        </is>
      </c>
      <c r="B4" t="inlineStr">
        <is>
          <t>1066</t>
        </is>
      </c>
    </row>
    <row r="5">
      <c r="A5" s="1" t="inlineStr">
        <is>
          <t>PROJECT NAME</t>
        </is>
      </c>
      <c r="B5" t="inlineStr">
        <is>
          <t>DTRA Funded Flexible Xray Imager</t>
        </is>
      </c>
    </row>
    <row r="6">
      <c r="A6" s="1" t="inlineStr">
        <is>
          <t>TECHNICAL POINT OF CONTACT</t>
        </is>
      </c>
      <c r="B6" t="inlineStr">
        <is>
          <t>Robert Woods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DD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R18" s="2" t="n">
        <v>58.62</v>
      </c>
      <c r="S18" s="2" t="n">
        <v>948.86</v>
      </c>
      <c r="T18" s="2" t="n">
        <v>715.39</v>
      </c>
      <c r="U18" s="2" t="n">
        <v>132.96</v>
      </c>
      <c r="V18" s="2" t="n">
        <v>25715.14</v>
      </c>
      <c r="AE18" s="10">
        <f>SUM(C18:AD18)</f>
        <v/>
      </c>
    </row>
    <row r="19">
      <c r="B19" t="inlineStr">
        <is>
          <t>Fringe 5990</t>
        </is>
      </c>
      <c r="R19" s="2" t="n">
        <v>26.55</v>
      </c>
      <c r="S19" s="2" t="n">
        <v>429.64</v>
      </c>
      <c r="T19" s="2" t="n">
        <v>370.86</v>
      </c>
      <c r="U19" s="2" t="n">
        <v>63.95</v>
      </c>
      <c r="V19" s="2" t="n">
        <v>12368.98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R21" s="2" t="n">
        <v>250000</v>
      </c>
      <c r="S21" s="2" t="n">
        <v>100000</v>
      </c>
      <c r="U21" s="2" t="n">
        <v>224997</v>
      </c>
      <c r="V21" s="2" t="n">
        <v>-300000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U23" s="2" t="n">
        <v>115000</v>
      </c>
      <c r="V23" s="2" t="n">
        <v>305000</v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R27" s="2" t="n">
        <v>7075</v>
      </c>
      <c r="S27" s="2" t="n">
        <v>2830</v>
      </c>
      <c r="T27" s="2" t="n">
        <v>230</v>
      </c>
      <c r="U27" s="2" t="n">
        <v>10403.91</v>
      </c>
      <c r="V27" s="2" t="n">
        <v>-12699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R29" s="2" t="n">
        <v>123.25</v>
      </c>
      <c r="S29" s="2" t="n">
        <v>1994.97</v>
      </c>
      <c r="T29" s="2" t="n">
        <v>1243.47</v>
      </c>
      <c r="U29" s="2" t="n">
        <v>258.72</v>
      </c>
      <c r="V29" s="2" t="n">
        <v>50038.72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R32" s="2" t="n">
        <v>13925.82</v>
      </c>
      <c r="S32" s="2" t="n">
        <v>13925.82</v>
      </c>
      <c r="T32" s="2" t="n">
        <v>13925.82</v>
      </c>
      <c r="U32" s="2" t="n">
        <v>13925.82</v>
      </c>
      <c r="V32" s="2" t="n">
        <v>4641.94</v>
      </c>
      <c r="AE32" s="10">
        <f>SUM(C32:AD32)</f>
        <v/>
      </c>
    </row>
    <row r="33">
      <c r="B33" t="inlineStr">
        <is>
          <t>Fringe 5990</t>
        </is>
      </c>
      <c r="R33" s="2" t="n">
        <v>6305.61</v>
      </c>
      <c r="S33" s="2" t="n">
        <v>6305.61</v>
      </c>
      <c r="T33" s="2" t="n">
        <v>6305.61</v>
      </c>
      <c r="U33" s="2" t="n">
        <v>6305.61</v>
      </c>
      <c r="V33" s="2" t="n">
        <v>2101.87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R35" s="2" t="n">
        <v>427284.63</v>
      </c>
      <c r="S35" s="2" t="n">
        <v>90125.00999999999</v>
      </c>
      <c r="T35" s="2" t="n">
        <v>34845</v>
      </c>
      <c r="U35" s="2" t="n">
        <v>17058.75</v>
      </c>
      <c r="V35" s="2" t="n">
        <v>5686.25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R41" s="2" t="n">
        <v>707.25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R43" s="2" t="n">
        <v>29275.92</v>
      </c>
      <c r="S43" s="2" t="n">
        <v>29275.92</v>
      </c>
      <c r="T43" s="2" t="n">
        <v>29275.92</v>
      </c>
      <c r="U43" s="2" t="n">
        <v>29274.27</v>
      </c>
      <c r="V43" s="2" t="n">
        <v>9760.66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R45" s="2" t="n">
        <v>790239</v>
      </c>
      <c r="AE45" s="10">
        <f>SUM(C45:AD45)</f>
        <v/>
      </c>
    </row>
    <row r="46">
      <c r="B46" t="inlineStr">
        <is>
          <t>Obligated</t>
        </is>
      </c>
      <c r="R46" s="2" t="n">
        <v>790239</v>
      </c>
      <c r="AE46" s="10">
        <f>SUM(C46:AD46)</f>
        <v/>
      </c>
    </row>
    <row r="47">
      <c r="B47" t="inlineStr">
        <is>
          <t>Expended</t>
        </is>
      </c>
      <c r="S47" s="2" t="n">
        <v>395000</v>
      </c>
      <c r="T47" s="2" t="n">
        <v>395239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2ADP067</t>
        </is>
      </c>
    </row>
    <row r="4">
      <c r="A4" s="1" t="inlineStr">
        <is>
          <t>ROLLUP #</t>
        </is>
      </c>
      <c r="B4" t="inlineStr">
        <is>
          <t>1067</t>
        </is>
      </c>
    </row>
    <row r="5">
      <c r="A5" s="1" t="inlineStr">
        <is>
          <t>PROJECT NAME</t>
        </is>
      </c>
      <c r="B5" t="inlineStr">
        <is>
          <t>Domestic Advancement of Smart Textiles Manufacturing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CW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S18" s="2" t="n">
        <v>549.34</v>
      </c>
      <c r="T18" s="2" t="n">
        <v>1239.76</v>
      </c>
      <c r="U18" s="2" t="n">
        <v>1648.76</v>
      </c>
      <c r="V18" s="2" t="n">
        <v>2289.08</v>
      </c>
      <c r="W18" s="2" t="n">
        <v>2005.88</v>
      </c>
      <c r="X18" s="2" t="n">
        <v>1381.64</v>
      </c>
      <c r="Y18" s="2" t="n">
        <v>2665.25</v>
      </c>
      <c r="Z18" s="2" t="n">
        <v>1256.31</v>
      </c>
      <c r="AE18" s="10">
        <f>SUM(C18:AD18)</f>
        <v/>
      </c>
    </row>
    <row r="19">
      <c r="B19" t="inlineStr">
        <is>
          <t>Fringe 5990</t>
        </is>
      </c>
      <c r="S19" s="2" t="n">
        <v>248.74</v>
      </c>
      <c r="T19" s="2" t="n">
        <v>611.8200000000001</v>
      </c>
      <c r="U19" s="2" t="n">
        <v>793.05</v>
      </c>
      <c r="V19" s="2" t="n">
        <v>1101.04</v>
      </c>
      <c r="W19" s="2" t="n">
        <v>1008.15</v>
      </c>
      <c r="X19" s="2" t="n">
        <v>694.41</v>
      </c>
      <c r="Y19" s="2" t="n">
        <v>1339.55</v>
      </c>
      <c r="Z19" s="2" t="n">
        <v>631.42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R21" s="2" t="n">
        <v>767699.61</v>
      </c>
      <c r="T21" s="2" t="n">
        <v>1370608.56</v>
      </c>
      <c r="U21" s="2" t="n">
        <v>662052.5699999999</v>
      </c>
      <c r="V21" s="2" t="n">
        <v>317783.19</v>
      </c>
      <c r="W21" s="2" t="n">
        <v>266826.32</v>
      </c>
      <c r="X21" s="2" t="n">
        <v>299896.15</v>
      </c>
      <c r="Y21" s="2" t="n">
        <v>155133.62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R27" s="2" t="n">
        <v>21725.9</v>
      </c>
      <c r="T27" s="2" t="n">
        <v>41940.63</v>
      </c>
      <c r="U27" s="2" t="n">
        <v>20258.82</v>
      </c>
      <c r="V27" s="2" t="n">
        <v>9724.17</v>
      </c>
      <c r="W27" s="2" t="n">
        <v>7818.01</v>
      </c>
      <c r="X27" s="2" t="n">
        <v>8786.959999999999</v>
      </c>
      <c r="Y27" s="2" t="n">
        <v>4545.42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S29" s="2" t="n">
        <v>1154.98</v>
      </c>
      <c r="T29" s="2" t="n">
        <v>2326.4</v>
      </c>
      <c r="U29" s="2" t="n">
        <v>3208.3</v>
      </c>
      <c r="V29" s="2" t="n">
        <v>4454.29</v>
      </c>
      <c r="W29" s="2" t="n">
        <v>4002.33</v>
      </c>
      <c r="X29" s="2" t="n">
        <v>2756.79</v>
      </c>
      <c r="Y29" s="2" t="n">
        <v>5317.98</v>
      </c>
      <c r="Z29" s="2" t="n">
        <v>2506.72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Q32" s="2" t="n">
        <v>721.96</v>
      </c>
      <c r="R32" s="2" t="n">
        <v>2165.88</v>
      </c>
      <c r="S32" s="2" t="n">
        <v>2165.88</v>
      </c>
      <c r="T32" s="2" t="n">
        <v>2165.88</v>
      </c>
      <c r="U32" s="2" t="n">
        <v>2165.88</v>
      </c>
      <c r="V32" s="2" t="n">
        <v>2165.88</v>
      </c>
      <c r="W32" s="2" t="n">
        <v>2165.88</v>
      </c>
      <c r="X32" s="2" t="n">
        <v>721.96</v>
      </c>
      <c r="AE32" s="10">
        <f>SUM(C32:AD32)</f>
        <v/>
      </c>
    </row>
    <row r="33">
      <c r="B33" t="inlineStr">
        <is>
          <t>Fringe 5990</t>
        </is>
      </c>
      <c r="Q33" s="2" t="n">
        <v>326.9</v>
      </c>
      <c r="R33" s="2" t="n">
        <v>980.7</v>
      </c>
      <c r="S33" s="2" t="n">
        <v>980.7</v>
      </c>
      <c r="T33" s="2" t="n">
        <v>980.7</v>
      </c>
      <c r="U33" s="2" t="n">
        <v>980.7</v>
      </c>
      <c r="V33" s="2" t="n">
        <v>980.7</v>
      </c>
      <c r="W33" s="2" t="n">
        <v>980.7</v>
      </c>
      <c r="X33" s="2" t="n">
        <v>326.9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Q35" s="2" t="n">
        <v>402522.23</v>
      </c>
      <c r="R35" s="2" t="n">
        <v>1255582.23</v>
      </c>
      <c r="S35" s="2" t="n">
        <v>1071165</v>
      </c>
      <c r="T35" s="2" t="n">
        <v>503158.31</v>
      </c>
      <c r="U35" s="2" t="n">
        <v>372910.47</v>
      </c>
      <c r="V35" s="2" t="n">
        <v>122055.05</v>
      </c>
      <c r="W35" s="2" t="n">
        <v>84455.00999999999</v>
      </c>
      <c r="X35" s="2" t="n">
        <v>28151.67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Q41" s="2" t="n">
        <v>11391.38</v>
      </c>
      <c r="R41" s="2" t="n">
        <v>35532.98</v>
      </c>
      <c r="S41" s="2" t="n">
        <v>30313.97</v>
      </c>
      <c r="T41" s="2" t="n">
        <v>14239.38</v>
      </c>
      <c r="U41" s="2" t="n">
        <v>10553.37</v>
      </c>
      <c r="V41" s="2" t="n">
        <v>3454.15</v>
      </c>
      <c r="W41" s="2" t="n">
        <v>2390.07</v>
      </c>
      <c r="X41" s="2" t="n">
        <v>796.55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Q43" s="2" t="n">
        <v>1517.53</v>
      </c>
      <c r="R43" s="2" t="n">
        <v>4552.59</v>
      </c>
      <c r="S43" s="2" t="n">
        <v>4552.59</v>
      </c>
      <c r="T43" s="2" t="n">
        <v>4552.59</v>
      </c>
      <c r="U43" s="2" t="n">
        <v>4552.59</v>
      </c>
      <c r="V43" s="2" t="n">
        <v>4552.59</v>
      </c>
      <c r="W43" s="2" t="n">
        <v>4552.59</v>
      </c>
      <c r="X43" s="2" t="n">
        <v>1517.68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Q45" s="2" t="n">
        <v>4000000</v>
      </c>
      <c r="AE45" s="10">
        <f>SUM(C45:AD45)</f>
        <v/>
      </c>
    </row>
    <row r="46">
      <c r="B46" t="inlineStr">
        <is>
          <t>Obligated</t>
        </is>
      </c>
      <c r="Q46" s="2" t="n">
        <v>4000000</v>
      </c>
      <c r="AE46" s="10">
        <f>SUM(C46:AD46)</f>
        <v/>
      </c>
    </row>
    <row r="47">
      <c r="B47" t="inlineStr">
        <is>
          <t>Expended</t>
        </is>
      </c>
      <c r="R47" s="2" t="n">
        <v>1900000</v>
      </c>
      <c r="S47" s="2" t="n">
        <v>1000000</v>
      </c>
      <c r="T47" s="2" t="n">
        <v>700000</v>
      </c>
      <c r="V47" s="2" t="n">
        <v>400000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2ADP068</t>
        </is>
      </c>
    </row>
    <row r="4">
      <c r="A4" s="1" t="inlineStr">
        <is>
          <t>ROLLUP #</t>
        </is>
      </c>
      <c r="B4" t="inlineStr">
        <is>
          <t>1068</t>
        </is>
      </c>
    </row>
    <row r="5">
      <c r="A5" s="1" t="inlineStr">
        <is>
          <t>PROJECT NAME</t>
        </is>
      </c>
      <c r="B5" t="inlineStr">
        <is>
          <t>NASIC T2 Program FY23</t>
        </is>
      </c>
    </row>
    <row r="6">
      <c r="A6" s="1" t="inlineStr">
        <is>
          <t>TECHNICAL POINT OF CONTACT</t>
        </is>
      </c>
      <c r="B6" t="inlineStr">
        <is>
          <t>Timothy Deedy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DF,DG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R18" s="2" t="n">
        <v>49.94</v>
      </c>
      <c r="S18" s="2" t="n">
        <v>1475.39</v>
      </c>
      <c r="T18" s="2" t="n">
        <v>1524.92</v>
      </c>
      <c r="U18" s="2" t="n">
        <v>2828.09</v>
      </c>
      <c r="V18" s="2" t="n">
        <v>4326.14</v>
      </c>
      <c r="W18" s="2" t="n">
        <v>2880.94</v>
      </c>
      <c r="X18" s="2" t="n">
        <v>2648.64</v>
      </c>
      <c r="Y18" s="2" t="n">
        <v>2326.49</v>
      </c>
      <c r="Z18" s="2" t="n">
        <v>7892.72</v>
      </c>
      <c r="AA18" s="2" t="n">
        <v>2456.22</v>
      </c>
      <c r="AE18" s="10">
        <f>SUM(C18:AD18)</f>
        <v/>
      </c>
    </row>
    <row r="19">
      <c r="B19" t="inlineStr">
        <is>
          <t>Fringe 5990</t>
        </is>
      </c>
      <c r="R19" s="2" t="n">
        <v>22.61</v>
      </c>
      <c r="S19" s="2" t="n">
        <v>668.05</v>
      </c>
      <c r="T19" s="2" t="n">
        <v>775.09</v>
      </c>
      <c r="U19" s="2" t="n">
        <v>1360.31</v>
      </c>
      <c r="V19" s="2" t="n">
        <v>2080.88</v>
      </c>
      <c r="W19" s="2" t="n">
        <v>1447.96</v>
      </c>
      <c r="X19" s="2" t="n">
        <v>1331.2</v>
      </c>
      <c r="Y19" s="2" t="n">
        <v>1169.29</v>
      </c>
      <c r="Z19" s="2" t="n">
        <v>3966.89</v>
      </c>
      <c r="AA19" s="2" t="n">
        <v>1329.56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U21" s="2" t="n">
        <v>353343.75</v>
      </c>
      <c r="V21" s="2" t="n">
        <v>680420.49</v>
      </c>
      <c r="W21" s="2" t="n">
        <v>257917.67</v>
      </c>
      <c r="X21" s="2" t="n">
        <v>153860.16</v>
      </c>
      <c r="Y21" s="2" t="n">
        <v>43225</v>
      </c>
      <c r="Z21" s="2" t="n">
        <v>75065.21000000001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U27" s="2" t="n">
        <v>10812.32</v>
      </c>
      <c r="V27" s="2" t="n">
        <v>20820.87</v>
      </c>
      <c r="W27" s="2" t="n">
        <v>7556.99</v>
      </c>
      <c r="X27" s="2" t="n">
        <v>4508.1</v>
      </c>
      <c r="Y27" s="2" t="n">
        <v>1266.49</v>
      </c>
      <c r="Z27" s="2" t="n">
        <v>2199.41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R29" s="2" t="n">
        <v>105</v>
      </c>
      <c r="S29" s="2" t="n">
        <v>3101.98</v>
      </c>
      <c r="T29" s="2" t="n">
        <v>2736.27</v>
      </c>
      <c r="U29" s="2" t="n">
        <v>5503.14</v>
      </c>
      <c r="V29" s="2" t="n">
        <v>8418.17</v>
      </c>
      <c r="W29" s="2" t="n">
        <v>5748.35</v>
      </c>
      <c r="X29" s="2" t="n">
        <v>5284.83</v>
      </c>
      <c r="Y29" s="2" t="n">
        <v>4642.06</v>
      </c>
      <c r="Z29" s="2" t="n">
        <v>15748.38</v>
      </c>
      <c r="AA29" s="2" t="n">
        <v>5158.5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R32" s="2" t="n">
        <v>7110.78</v>
      </c>
      <c r="S32" s="2" t="n">
        <v>7110.78</v>
      </c>
      <c r="T32" s="2" t="n">
        <v>205176.78</v>
      </c>
      <c r="U32" s="2" t="n">
        <v>413804.78</v>
      </c>
      <c r="V32" s="2" t="n">
        <v>367024</v>
      </c>
      <c r="W32" s="2" t="n">
        <v>140771</v>
      </c>
      <c r="X32" s="2" t="n">
        <v>28807</v>
      </c>
      <c r="AE32" s="10">
        <f>SUM(C32:AD32)</f>
        <v/>
      </c>
    </row>
    <row r="33">
      <c r="B33" t="inlineStr">
        <is>
          <t>Fringe 5990</t>
        </is>
      </c>
      <c r="R33" s="2" t="n">
        <v>3420.27</v>
      </c>
      <c r="S33" s="2" t="n">
        <v>3420.27</v>
      </c>
      <c r="T33" s="2" t="n">
        <v>3420.27</v>
      </c>
      <c r="U33" s="2" t="n">
        <v>3420.27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T35" s="2" t="n">
        <v>48918.75</v>
      </c>
      <c r="U35" s="2" t="n">
        <v>48918.75</v>
      </c>
      <c r="V35" s="2" t="n">
        <v>202832.5</v>
      </c>
      <c r="W35" s="2" t="n">
        <v>122600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T41" s="2" t="n">
        <v>7565.75</v>
      </c>
      <c r="U41" s="2" t="n">
        <v>13946.75</v>
      </c>
      <c r="V41" s="2" t="n">
        <v>17448.5</v>
      </c>
      <c r="W41" s="2" t="n">
        <v>8058</v>
      </c>
      <c r="X41" s="2" t="n">
        <v>878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R43" s="2" t="n">
        <v>13836.75</v>
      </c>
      <c r="S43" s="2" t="n">
        <v>13836.75</v>
      </c>
      <c r="T43" s="2" t="n">
        <v>13836.75</v>
      </c>
      <c r="U43" s="2" t="n">
        <v>13836.46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R45" s="2" t="n">
        <v>1710000</v>
      </c>
      <c r="AE45" s="10">
        <f>SUM(C45:AD45)</f>
        <v/>
      </c>
    </row>
    <row r="46">
      <c r="B46" t="inlineStr">
        <is>
          <t>Obligated</t>
        </is>
      </c>
      <c r="R46" s="2" t="n">
        <v>1710000</v>
      </c>
      <c r="AE46" s="10">
        <f>SUM(C46:AD46)</f>
        <v/>
      </c>
    </row>
    <row r="47">
      <c r="B47" t="inlineStr">
        <is>
          <t>Expended</t>
        </is>
      </c>
      <c r="S47" s="2" t="n">
        <v>435000</v>
      </c>
      <c r="T47" s="2" t="n">
        <v>605350</v>
      </c>
      <c r="U47" s="2" t="n">
        <v>669650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2ADP069</t>
        </is>
      </c>
    </row>
    <row r="4">
      <c r="A4" s="1" t="inlineStr">
        <is>
          <t>ROLLUP #</t>
        </is>
      </c>
      <c r="B4" t="inlineStr">
        <is>
          <t>713107</t>
        </is>
      </c>
    </row>
    <row r="5">
      <c r="A5" s="1" t="inlineStr">
        <is>
          <t>PROJECT NAME</t>
        </is>
      </c>
      <c r="B5" t="inlineStr">
        <is>
          <t>Flexible Conformable Data Acquisition Integration for On Board Recorder OBR</t>
        </is>
      </c>
    </row>
    <row r="6">
      <c r="A6" s="1" t="inlineStr">
        <is>
          <t>TECHNICAL POINT OF CONTACT</t>
        </is>
      </c>
      <c r="B6" t="inlineStr">
        <is>
          <t>Stephen S Recchia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DE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R18" s="2" t="n">
        <v>107.03</v>
      </c>
      <c r="S18" s="2" t="n">
        <v>1579.9</v>
      </c>
      <c r="T18" s="2" t="n">
        <v>846.62</v>
      </c>
      <c r="U18" s="2" t="n">
        <v>10569.86</v>
      </c>
      <c r="V18" s="2" t="n">
        <v>10378.08</v>
      </c>
      <c r="W18" s="2" t="n">
        <v>12491.28</v>
      </c>
      <c r="X18" s="2" t="n">
        <v>7123.53</v>
      </c>
      <c r="Y18" s="2" t="n">
        <v>3201.42</v>
      </c>
      <c r="Z18" s="2" t="n">
        <v>11046.32</v>
      </c>
      <c r="AA18" s="2" t="n">
        <v>263.81</v>
      </c>
      <c r="AB18" s="2" t="n">
        <v>192.37</v>
      </c>
      <c r="AE18" s="10">
        <f>SUM(C18:AD18)</f>
        <v/>
      </c>
    </row>
    <row r="19">
      <c r="B19" t="inlineStr">
        <is>
          <t>Fringe 5990</t>
        </is>
      </c>
      <c r="R19" s="2" t="n">
        <v>48.47</v>
      </c>
      <c r="S19" s="2" t="n">
        <v>715.38</v>
      </c>
      <c r="T19" s="2" t="n">
        <v>451.77</v>
      </c>
      <c r="U19" s="2" t="n">
        <v>5084.1</v>
      </c>
      <c r="V19" s="2" t="n">
        <v>4991.86</v>
      </c>
      <c r="W19" s="2" t="n">
        <v>6278.12</v>
      </c>
      <c r="X19" s="2" t="n">
        <v>3580.28</v>
      </c>
      <c r="Y19" s="2" t="n">
        <v>1609.03</v>
      </c>
      <c r="Z19" s="2" t="n">
        <v>5551.89</v>
      </c>
      <c r="AA19" s="2" t="n">
        <v>142.8</v>
      </c>
      <c r="AB19" s="2" t="n">
        <v>104.14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V25" s="2" t="n">
        <v>50.19</v>
      </c>
      <c r="W25" s="2" t="n">
        <v>45.84</v>
      </c>
      <c r="Y25" s="2" t="n">
        <v>29.33</v>
      </c>
      <c r="Z25" s="2" t="n">
        <v>185.7</v>
      </c>
      <c r="AE25" s="10">
        <f>SUM(C25:AD25)</f>
        <v/>
      </c>
    </row>
    <row r="26">
      <c r="B26" t="inlineStr">
        <is>
          <t>Material 5003</t>
        </is>
      </c>
      <c r="W26" s="2" t="n">
        <v>2431.73</v>
      </c>
      <c r="X26" s="2" t="n">
        <v>289.8</v>
      </c>
      <c r="Z26" s="2" t="n">
        <v>1340.72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R29" s="2" t="n">
        <v>225.03</v>
      </c>
      <c r="S29" s="2" t="n">
        <v>3321.7</v>
      </c>
      <c r="T29" s="2" t="n">
        <v>1400</v>
      </c>
      <c r="U29" s="2" t="n">
        <v>20567.74</v>
      </c>
      <c r="V29" s="2" t="n">
        <v>20260.5</v>
      </c>
      <c r="W29" s="2" t="n">
        <v>28213.85</v>
      </c>
      <c r="X29" s="2" t="n">
        <v>14598.42</v>
      </c>
      <c r="Y29" s="2" t="n">
        <v>6426.75</v>
      </c>
      <c r="Z29" s="2" t="n">
        <v>24067.69</v>
      </c>
      <c r="AA29" s="2" t="n">
        <v>554.04</v>
      </c>
      <c r="AB29" s="2" t="n">
        <v>404.05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R32" s="2" t="n">
        <v>9572.48</v>
      </c>
      <c r="S32" s="2" t="n">
        <v>15315.96</v>
      </c>
      <c r="T32" s="2" t="n">
        <v>16531.66</v>
      </c>
      <c r="U32" s="2" t="n">
        <v>16900.2</v>
      </c>
      <c r="V32" s="2" t="n">
        <v>16900.2</v>
      </c>
      <c r="W32" s="2" t="n">
        <v>18026.88</v>
      </c>
      <c r="X32" s="2" t="n">
        <v>19457.78</v>
      </c>
      <c r="Y32" s="2" t="n">
        <v>19222.8</v>
      </c>
      <c r="Z32" s="2" t="n">
        <v>6296.14</v>
      </c>
      <c r="AE32" s="10">
        <f>SUM(C32:AD32)</f>
        <v/>
      </c>
    </row>
    <row r="33">
      <c r="B33" t="inlineStr">
        <is>
          <t>Fringe 5990</t>
        </is>
      </c>
      <c r="R33" s="2" t="n">
        <v>4334.42</v>
      </c>
      <c r="S33" s="2" t="n">
        <v>6935.07</v>
      </c>
      <c r="T33" s="2" t="n">
        <v>7485.55</v>
      </c>
      <c r="U33" s="2" t="n">
        <v>7652.43</v>
      </c>
      <c r="V33" s="2" t="n">
        <v>7652.43</v>
      </c>
      <c r="W33" s="2" t="n">
        <v>8162.59</v>
      </c>
      <c r="X33" s="2" t="n">
        <v>8810.49</v>
      </c>
      <c r="Y33" s="2" t="n">
        <v>8704.08</v>
      </c>
      <c r="Z33" s="2" t="n">
        <v>2850.89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R40" s="2" t="n">
        <v>583.34</v>
      </c>
      <c r="S40" s="2" t="n">
        <v>291.67</v>
      </c>
      <c r="T40" s="2" t="n">
        <v>583.34</v>
      </c>
      <c r="U40" s="2" t="n">
        <v>291.67</v>
      </c>
      <c r="V40" s="2" t="n">
        <v>583.34</v>
      </c>
      <c r="W40" s="2" t="n">
        <v>291.67</v>
      </c>
      <c r="X40" s="2" t="n">
        <v>583.34</v>
      </c>
      <c r="Y40" s="2" t="n">
        <v>291.67</v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R43" s="2" t="n">
        <v>20970.26</v>
      </c>
      <c r="S43" s="2" t="n">
        <v>32623.81</v>
      </c>
      <c r="T43" s="2" t="n">
        <v>35601.92</v>
      </c>
      <c r="U43" s="2" t="n">
        <v>35954.67</v>
      </c>
      <c r="V43" s="2" t="n">
        <v>36376.77</v>
      </c>
      <c r="W43" s="2" t="n">
        <v>38323.51</v>
      </c>
      <c r="X43" s="2" t="n">
        <v>41754.03</v>
      </c>
      <c r="Y43" s="2" t="n">
        <v>40842.57</v>
      </c>
      <c r="Z43" s="2" t="n">
        <v>13240.41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R45" s="2" t="n">
        <v>500000</v>
      </c>
      <c r="AE45" s="10">
        <f>SUM(C45:AD45)</f>
        <v/>
      </c>
    </row>
    <row r="46">
      <c r="B46" t="inlineStr">
        <is>
          <t>Obligated</t>
        </is>
      </c>
      <c r="R46" s="2" t="n">
        <v>500000</v>
      </c>
      <c r="AE46" s="10">
        <f>SUM(C46:AD46)</f>
        <v/>
      </c>
    </row>
    <row r="47">
      <c r="B47" t="inlineStr">
        <is>
          <t>Expended</t>
        </is>
      </c>
      <c r="S47" s="2" t="n">
        <v>250000</v>
      </c>
      <c r="T47" s="2" t="n">
        <v>250000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2ADP070</t>
        </is>
      </c>
    </row>
    <row r="4">
      <c r="A4" s="1" t="inlineStr">
        <is>
          <t>ROLLUP #</t>
        </is>
      </c>
      <c r="B4" t="inlineStr">
        <is>
          <t>1070</t>
        </is>
      </c>
    </row>
    <row r="5">
      <c r="A5" s="1" t="inlineStr">
        <is>
          <t>PROJECT NAME</t>
        </is>
      </c>
      <c r="B5" t="inlineStr">
        <is>
          <t>Army SC MDO project pt2 FY23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DH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S18" s="2" t="n">
        <v>1016.68</v>
      </c>
      <c r="T18" s="2" t="n">
        <v>2292.16</v>
      </c>
      <c r="U18" s="2" t="n">
        <v>17770.53</v>
      </c>
      <c r="V18" s="2" t="n">
        <v>7971.94</v>
      </c>
      <c r="W18" s="2" t="n">
        <v>5793.75</v>
      </c>
      <c r="X18" s="2" t="n">
        <v>1676.44</v>
      </c>
      <c r="Y18" s="2" t="n">
        <v>7525.85</v>
      </c>
      <c r="Z18" s="2" t="n">
        <v>12572.63</v>
      </c>
      <c r="AA18" s="2" t="n">
        <v>7731.91</v>
      </c>
      <c r="AB18" s="2" t="n">
        <v>4826.67</v>
      </c>
      <c r="AE18" s="10">
        <f>SUM(C18:AD18)</f>
        <v/>
      </c>
    </row>
    <row r="19">
      <c r="B19" t="inlineStr">
        <is>
          <t>Fringe 5990</t>
        </is>
      </c>
      <c r="S19" s="2" t="n">
        <v>460.35</v>
      </c>
      <c r="T19" s="2" t="n">
        <v>1131.19</v>
      </c>
      <c r="U19" s="2" t="n">
        <v>7620.7</v>
      </c>
      <c r="V19" s="2" t="n">
        <v>3834.51</v>
      </c>
      <c r="W19" s="2" t="n">
        <v>2911.94</v>
      </c>
      <c r="X19" s="2" t="n">
        <v>842.58</v>
      </c>
      <c r="Y19" s="2" t="n">
        <v>3782.49</v>
      </c>
      <c r="Z19" s="2" t="n">
        <v>6319.01</v>
      </c>
      <c r="AA19" s="2" t="n">
        <v>4185.28</v>
      </c>
      <c r="AB19" s="2" t="n">
        <v>2556.32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T21" s="2" t="n">
        <v>1525.62</v>
      </c>
      <c r="U21" s="2" t="n">
        <v>29406.95</v>
      </c>
      <c r="V21" s="2" t="n">
        <v>558997.96</v>
      </c>
      <c r="X21" s="2" t="n">
        <v>525358.84</v>
      </c>
      <c r="Y21" s="2" t="n">
        <v>853196.6</v>
      </c>
      <c r="Z21" s="2" t="n">
        <v>1174087.29</v>
      </c>
      <c r="AB21" s="2" t="n">
        <v>352775.5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U25" s="2" t="n">
        <v>57.52</v>
      </c>
      <c r="AA25" s="2" t="n">
        <v>174.87</v>
      </c>
      <c r="AB25" s="2" t="n">
        <v>64.17</v>
      </c>
      <c r="AE25" s="10">
        <f>SUM(C25:AD25)</f>
        <v/>
      </c>
    </row>
    <row r="26">
      <c r="B26" t="inlineStr">
        <is>
          <t>Material 5003</t>
        </is>
      </c>
      <c r="U26" s="2" t="n">
        <v>953.0599999999999</v>
      </c>
      <c r="V26" s="2" t="n">
        <v>1119.27</v>
      </c>
      <c r="Y26" s="2" t="n">
        <v>182.61</v>
      </c>
      <c r="AA26" s="2" t="n">
        <v>15655</v>
      </c>
      <c r="AB26" s="2" t="n">
        <v>1381.19</v>
      </c>
      <c r="AE26" s="10">
        <f>SUM(C26:AD26)</f>
        <v/>
      </c>
    </row>
    <row r="27">
      <c r="B27" t="inlineStr">
        <is>
          <t>Sub K Overhead 5992</t>
        </is>
      </c>
      <c r="T27" s="2" t="n">
        <v>46.68</v>
      </c>
      <c r="U27" s="2" t="n">
        <v>899.85</v>
      </c>
      <c r="V27" s="2" t="n">
        <v>17105.34</v>
      </c>
      <c r="X27" s="2" t="n">
        <v>15393.01</v>
      </c>
      <c r="Y27" s="2" t="n">
        <v>24998.66</v>
      </c>
      <c r="Z27" s="2" t="n">
        <v>34400.76</v>
      </c>
      <c r="AB27" s="2" t="n">
        <v>10689.1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S29" s="2" t="n">
        <v>2137.54</v>
      </c>
      <c r="T29" s="2" t="n">
        <v>4301.06</v>
      </c>
      <c r="U29" s="2" t="n">
        <v>33080.2</v>
      </c>
      <c r="V29" s="2" t="n">
        <v>16983.09</v>
      </c>
      <c r="W29" s="2" t="n">
        <v>11560.28</v>
      </c>
      <c r="X29" s="2" t="n">
        <v>3345.01</v>
      </c>
      <c r="Y29" s="2" t="n">
        <v>15258.83</v>
      </c>
      <c r="Z29" s="2" t="n">
        <v>25086.21</v>
      </c>
      <c r="AA29" s="2" t="n">
        <v>37808.14</v>
      </c>
      <c r="AB29" s="2" t="n">
        <v>11887.65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R32" s="2" t="n">
        <v>8685.459999999999</v>
      </c>
      <c r="S32" s="2" t="n">
        <v>13028.19</v>
      </c>
      <c r="T32" s="2" t="n">
        <v>13028.19</v>
      </c>
      <c r="U32" s="2" t="n">
        <v>13028.19</v>
      </c>
      <c r="V32" s="2" t="n">
        <v>13028.19</v>
      </c>
      <c r="W32" s="2" t="n">
        <v>13028.19</v>
      </c>
      <c r="X32" s="2" t="n">
        <v>13028.19</v>
      </c>
      <c r="Y32" s="2" t="n">
        <v>13028.19</v>
      </c>
      <c r="Z32" s="2" t="n">
        <v>4342.73</v>
      </c>
      <c r="AE32" s="10">
        <f>SUM(C32:AD32)</f>
        <v/>
      </c>
    </row>
    <row r="33">
      <c r="B33" t="inlineStr">
        <is>
          <t>Fringe 5990</t>
        </is>
      </c>
      <c r="R33" s="2" t="n">
        <v>3932.78</v>
      </c>
      <c r="S33" s="2" t="n">
        <v>5899.17</v>
      </c>
      <c r="T33" s="2" t="n">
        <v>5899.17</v>
      </c>
      <c r="U33" s="2" t="n">
        <v>5899.17</v>
      </c>
      <c r="V33" s="2" t="n">
        <v>5899.17</v>
      </c>
      <c r="W33" s="2" t="n">
        <v>5899.17</v>
      </c>
      <c r="X33" s="2" t="n">
        <v>5899.17</v>
      </c>
      <c r="Y33" s="2" t="n">
        <v>5899.17</v>
      </c>
      <c r="Z33" s="2" t="n">
        <v>1966.39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R35" s="2" t="n">
        <v>54262.24</v>
      </c>
      <c r="S35" s="2" t="n">
        <v>89567.64</v>
      </c>
      <c r="T35" s="2" t="n">
        <v>201371.7</v>
      </c>
      <c r="U35" s="2" t="n">
        <v>661446.54</v>
      </c>
      <c r="V35" s="2" t="n">
        <v>652382.73</v>
      </c>
      <c r="W35" s="2" t="n">
        <v>535744.99</v>
      </c>
      <c r="X35" s="2" t="n">
        <v>534008.98</v>
      </c>
      <c r="Y35" s="2" t="n">
        <v>640340.95</v>
      </c>
      <c r="Z35" s="2" t="n">
        <v>230873.99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R40" s="2" t="n">
        <v>1877.58</v>
      </c>
      <c r="S40" s="2" t="n">
        <v>938.79</v>
      </c>
      <c r="U40" s="2" t="n">
        <v>1877.58</v>
      </c>
      <c r="V40" s="2" t="n">
        <v>938.79</v>
      </c>
      <c r="W40" s="2" t="n">
        <v>1877.58</v>
      </c>
      <c r="X40" s="2" t="n">
        <v>2816.37</v>
      </c>
      <c r="Y40" s="2" t="n">
        <v>938.79</v>
      </c>
      <c r="AE40" s="10">
        <f>SUM(C40:AD40)</f>
        <v/>
      </c>
    </row>
    <row r="41">
      <c r="B41" t="inlineStr">
        <is>
          <t>Sub K Overhead 5992</t>
        </is>
      </c>
      <c r="R41" s="2" t="n">
        <v>1535.62</v>
      </c>
      <c r="S41" s="2" t="n">
        <v>2534.77</v>
      </c>
      <c r="T41" s="2" t="n">
        <v>5698.82</v>
      </c>
      <c r="U41" s="2" t="n">
        <v>18718.93</v>
      </c>
      <c r="V41" s="2" t="n">
        <v>18462.43</v>
      </c>
      <c r="W41" s="2" t="n">
        <v>15161.58</v>
      </c>
      <c r="X41" s="2" t="n">
        <v>15112.45</v>
      </c>
      <c r="Y41" s="2" t="n">
        <v>18121.64</v>
      </c>
      <c r="Z41" s="2" t="n">
        <v>6533.96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R43" s="2" t="n">
        <v>19619.66</v>
      </c>
      <c r="S43" s="2" t="n">
        <v>29429.49</v>
      </c>
      <c r="T43" s="2" t="n">
        <v>29429.49</v>
      </c>
      <c r="U43" s="2" t="n">
        <v>29429.49</v>
      </c>
      <c r="V43" s="2" t="n">
        <v>29429.49</v>
      </c>
      <c r="W43" s="2" t="n">
        <v>29429.49</v>
      </c>
      <c r="X43" s="2" t="n">
        <v>29429.49</v>
      </c>
      <c r="Y43" s="2" t="n">
        <v>29429.49</v>
      </c>
      <c r="Z43" s="2" t="n">
        <v>9809.610000000001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R45" s="2" t="n">
        <v>4100000</v>
      </c>
      <c r="AE45" s="10">
        <f>SUM(C45:AD45)</f>
        <v/>
      </c>
    </row>
    <row r="46">
      <c r="B46" t="inlineStr">
        <is>
          <t>Obligated</t>
        </is>
      </c>
      <c r="R46" s="2" t="n">
        <v>4100000</v>
      </c>
      <c r="AE46" s="10">
        <f>SUM(C46:AD46)</f>
        <v/>
      </c>
    </row>
    <row r="47">
      <c r="B47" t="inlineStr">
        <is>
          <t>Expended</t>
        </is>
      </c>
      <c r="S47" s="2" t="n">
        <v>525000</v>
      </c>
      <c r="T47" s="2" t="n">
        <v>500000</v>
      </c>
      <c r="V47" s="2" t="n">
        <v>1500000</v>
      </c>
      <c r="W47" s="2" t="n">
        <v>1000000</v>
      </c>
      <c r="X47" s="2" t="n">
        <v>575000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2ADP071</t>
        </is>
      </c>
    </row>
    <row r="4">
      <c r="A4" s="1" t="inlineStr">
        <is>
          <t>ROLLUP #</t>
        </is>
      </c>
      <c r="B4" t="inlineStr">
        <is>
          <t>1071</t>
        </is>
      </c>
    </row>
    <row r="5">
      <c r="A5" s="1" t="inlineStr">
        <is>
          <t>PROJECT NAME</t>
        </is>
      </c>
      <c r="B5" t="inlineStr">
        <is>
          <t>Army SC MDO project pt2 FY23</t>
        </is>
      </c>
    </row>
    <row r="6">
      <c r="A6" s="1" t="inlineStr">
        <is>
          <t>TECHNICAL POINT OF CONTACT</t>
        </is>
      </c>
      <c r="B6" t="inlineStr">
        <is>
          <t>Emily Hackman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DJ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S18" s="2" t="n">
        <v>649.22</v>
      </c>
      <c r="T18" s="2" t="n">
        <v>1239.76</v>
      </c>
      <c r="U18" s="2" t="n">
        <v>797.79</v>
      </c>
      <c r="V18" s="2" t="n">
        <v>1315.8</v>
      </c>
      <c r="W18" s="2" t="n">
        <v>91.34</v>
      </c>
      <c r="X18" s="2" t="n">
        <v>137.02</v>
      </c>
      <c r="Y18" s="2" t="n">
        <v>49475.01</v>
      </c>
      <c r="Z18" s="2" t="n">
        <v>7443.72</v>
      </c>
      <c r="AA18" s="2" t="n">
        <v>325.11</v>
      </c>
      <c r="AE18" s="10">
        <f>SUM(C18:AD18)</f>
        <v/>
      </c>
    </row>
    <row r="19">
      <c r="B19" t="inlineStr">
        <is>
          <t>Fringe 5990</t>
        </is>
      </c>
      <c r="S19" s="2" t="n">
        <v>293.97</v>
      </c>
      <c r="T19" s="2" t="n">
        <v>614.64</v>
      </c>
      <c r="U19" s="2" t="n">
        <v>383.73</v>
      </c>
      <c r="V19" s="2" t="n">
        <v>632.9</v>
      </c>
      <c r="W19" s="2" t="n">
        <v>45.9</v>
      </c>
      <c r="X19" s="2" t="n">
        <v>68.87</v>
      </c>
      <c r="Y19" s="2" t="n">
        <v>24866.15</v>
      </c>
      <c r="Z19" s="2" t="n">
        <v>3741.21</v>
      </c>
      <c r="AA19" s="2" t="n">
        <v>175.98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R21" s="2" t="n">
        <v>53430.57</v>
      </c>
      <c r="S21" s="2" t="n">
        <v>106861.15</v>
      </c>
      <c r="T21" s="2" t="n">
        <v>308950.46</v>
      </c>
      <c r="U21" s="2" t="n">
        <v>401299.04</v>
      </c>
      <c r="V21" s="2" t="n">
        <v>315320.48</v>
      </c>
      <c r="W21" s="2" t="n">
        <v>234710.49</v>
      </c>
      <c r="X21" s="2" t="n">
        <v>291395.66</v>
      </c>
      <c r="Y21" s="2" t="n">
        <v>336153.39</v>
      </c>
      <c r="Z21" s="2" t="n">
        <v>290801.78</v>
      </c>
      <c r="AB21" s="2" t="n">
        <v>103432.06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Y25" s="2" t="n">
        <v>215.21</v>
      </c>
      <c r="AE25" s="10">
        <f>SUM(C25:AD25)</f>
        <v/>
      </c>
    </row>
    <row r="26">
      <c r="B26" t="inlineStr">
        <is>
          <t>Material 5003</t>
        </is>
      </c>
      <c r="Y26" s="2" t="n">
        <v>3559.83</v>
      </c>
      <c r="AE26" s="10">
        <f>SUM(C26:AD26)</f>
        <v/>
      </c>
    </row>
    <row r="27">
      <c r="B27" t="inlineStr">
        <is>
          <t>Sub K Overhead 5992</t>
        </is>
      </c>
      <c r="R27" s="2" t="n">
        <v>402.33</v>
      </c>
      <c r="S27" s="2" t="n">
        <v>4133.93</v>
      </c>
      <c r="T27" s="2" t="n">
        <v>8589.91</v>
      </c>
      <c r="U27" s="2" t="n">
        <v>12279.75</v>
      </c>
      <c r="V27" s="2" t="n">
        <v>9648.809999999999</v>
      </c>
      <c r="W27" s="2" t="n">
        <v>6877.02</v>
      </c>
      <c r="X27" s="2" t="n">
        <v>8537.889999999999</v>
      </c>
      <c r="Y27" s="2" t="n">
        <v>9849.290000000001</v>
      </c>
      <c r="Z27" s="2" t="n">
        <v>8520.49</v>
      </c>
      <c r="AB27" s="2" t="n">
        <v>2157.94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S29" s="2" t="n">
        <v>1364.98</v>
      </c>
      <c r="T29" s="2" t="n">
        <v>2310.76</v>
      </c>
      <c r="U29" s="2" t="n">
        <v>1552.41</v>
      </c>
      <c r="V29" s="2" t="n">
        <v>2560.4</v>
      </c>
      <c r="W29" s="2" t="n">
        <v>182.24</v>
      </c>
      <c r="X29" s="2" t="n">
        <v>273.4</v>
      </c>
      <c r="Y29" s="2" t="n">
        <v>103730.5</v>
      </c>
      <c r="Z29" s="2" t="n">
        <v>14852.47</v>
      </c>
      <c r="AA29" s="2" t="n">
        <v>682.79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R45" s="2" t="n">
        <v>3000000</v>
      </c>
      <c r="AE45" s="10">
        <f>SUM(C45:AD45)</f>
        <v/>
      </c>
    </row>
    <row r="46">
      <c r="B46" t="inlineStr">
        <is>
          <t>Obligated</t>
        </is>
      </c>
      <c r="R46" s="2" t="n">
        <v>3000000</v>
      </c>
      <c r="AE46" s="10">
        <f>SUM(C46:AD46)</f>
        <v/>
      </c>
    </row>
    <row r="47">
      <c r="B47" t="inlineStr">
        <is>
          <t>Expended</t>
        </is>
      </c>
      <c r="S47" s="2" t="n">
        <v>500000</v>
      </c>
      <c r="T47" s="2" t="n">
        <v>500000</v>
      </c>
      <c r="U47" s="2" t="n">
        <v>500000</v>
      </c>
      <c r="V47" s="2" t="n">
        <v>900000</v>
      </c>
      <c r="W47" s="2" t="n">
        <v>600000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2ADP072</t>
        </is>
      </c>
    </row>
    <row r="4">
      <c r="A4" s="1" t="inlineStr">
        <is>
          <t>ROLLUP #</t>
        </is>
      </c>
      <c r="B4" t="inlineStr">
        <is>
          <t>1072</t>
        </is>
      </c>
    </row>
    <row r="5">
      <c r="A5" s="1" t="inlineStr">
        <is>
          <t>PROJECT NAME</t>
        </is>
      </c>
      <c r="B5" t="inlineStr">
        <is>
          <t>Innovation Capacity Building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Other Gov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DK,DL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R18" s="2" t="n">
        <v>811.3</v>
      </c>
      <c r="S18" s="2" t="n">
        <v>9408.99</v>
      </c>
      <c r="T18" s="2" t="n">
        <v>473.16</v>
      </c>
      <c r="U18" s="2" t="n">
        <v>5950.44</v>
      </c>
      <c r="V18" s="2" t="n">
        <v>1193.23</v>
      </c>
      <c r="W18" s="2" t="n">
        <v>168.8</v>
      </c>
      <c r="AE18" s="10">
        <f>SUM(C18:AD18)</f>
        <v/>
      </c>
    </row>
    <row r="19">
      <c r="B19" t="inlineStr">
        <is>
          <t>Fringe 5990</t>
        </is>
      </c>
      <c r="R19" s="2" t="n">
        <v>367.36</v>
      </c>
      <c r="S19" s="2" t="n">
        <v>4260.4</v>
      </c>
      <c r="T19" s="2" t="n">
        <v>492.92</v>
      </c>
      <c r="U19" s="2" t="n">
        <v>19909.47</v>
      </c>
      <c r="V19" s="2" t="n">
        <v>573.95</v>
      </c>
      <c r="W19" s="2" t="n">
        <v>84.84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R21" s="2" t="n">
        <v>330868.6</v>
      </c>
      <c r="S21" s="2" t="n">
        <v>684680.64</v>
      </c>
      <c r="T21" s="2" t="n">
        <v>691660.36</v>
      </c>
      <c r="U21" s="2" t="n">
        <v>689870.3199999999</v>
      </c>
      <c r="V21" s="2" t="n">
        <v>402902.33</v>
      </c>
      <c r="W21" s="2" t="n">
        <v>67856.75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V23" s="2" t="n">
        <v>10000</v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T25" s="2" t="n">
        <v>1441.05</v>
      </c>
      <c r="U25" s="2" t="n">
        <v>113.76</v>
      </c>
      <c r="AE25" s="10">
        <f>SUM(C25:AD25)</f>
        <v/>
      </c>
    </row>
    <row r="26">
      <c r="B26" t="inlineStr">
        <is>
          <t>Material 5003</t>
        </is>
      </c>
      <c r="S26" s="2" t="n">
        <v>6522.47</v>
      </c>
      <c r="T26" s="2" t="n">
        <v>3227</v>
      </c>
      <c r="U26" s="2" t="n">
        <v>12077</v>
      </c>
      <c r="V26" s="2" t="n">
        <v>-10000</v>
      </c>
      <c r="AE26" s="10">
        <f>SUM(C26:AD26)</f>
        <v/>
      </c>
    </row>
    <row r="27">
      <c r="B27" t="inlineStr">
        <is>
          <t>Sub K Overhead 5992</t>
        </is>
      </c>
      <c r="R27" s="2" t="n">
        <v>9363.58</v>
      </c>
      <c r="S27" s="2" t="n">
        <v>19376.46</v>
      </c>
      <c r="T27" s="2" t="n">
        <v>22739.57</v>
      </c>
      <c r="U27" s="2" t="n">
        <v>21110.03</v>
      </c>
      <c r="V27" s="2" t="n">
        <v>12328.81</v>
      </c>
      <c r="W27" s="2" t="n">
        <v>1988.2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R29" s="2" t="n">
        <v>1705.75</v>
      </c>
      <c r="S29" s="2" t="n">
        <v>29221.61</v>
      </c>
      <c r="T29" s="2" t="n">
        <v>4711.12</v>
      </c>
      <c r="U29" s="2" t="n">
        <v>87270.03</v>
      </c>
      <c r="V29" s="2" t="n">
        <v>-10817.12</v>
      </c>
      <c r="W29" s="2" t="n">
        <v>336.81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R45" s="2" t="n">
        <v>3134250</v>
      </c>
      <c r="AE45" s="10">
        <f>SUM(C45:AD45)</f>
        <v/>
      </c>
    </row>
    <row r="46">
      <c r="B46" t="inlineStr">
        <is>
          <t>Obligated</t>
        </is>
      </c>
      <c r="R46" s="2" t="n">
        <v>3134250</v>
      </c>
      <c r="AE46" s="10">
        <f>SUM(C46:AD46)</f>
        <v/>
      </c>
    </row>
    <row r="47">
      <c r="B47" t="inlineStr">
        <is>
          <t>Expended</t>
        </is>
      </c>
      <c r="S47" s="2" t="n">
        <v>1550000</v>
      </c>
      <c r="T47" s="2" t="n">
        <v>800000</v>
      </c>
      <c r="U47" s="2" t="n">
        <v>434250</v>
      </c>
      <c r="V47" s="2" t="n">
        <v>350000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2ADP073</t>
        </is>
      </c>
    </row>
    <row r="4">
      <c r="A4" s="1" t="inlineStr">
        <is>
          <t>ROLLUP #</t>
        </is>
      </c>
      <c r="B4" t="inlineStr">
        <is>
          <t>1073</t>
        </is>
      </c>
    </row>
    <row r="5">
      <c r="A5" s="1" t="inlineStr">
        <is>
          <t>PROJECT NAME</t>
        </is>
      </c>
      <c r="B5" t="inlineStr">
        <is>
          <t>Study of Direct Planar Attachment of Mid Band Radiators</t>
        </is>
      </c>
    </row>
    <row r="6">
      <c r="A6" s="1" t="inlineStr">
        <is>
          <t>TECHNICAL POINT OF CONTACT</t>
        </is>
      </c>
      <c r="B6" t="inlineStr">
        <is>
          <t>Deanna Session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DM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S18" s="2" t="n">
        <v>299.64</v>
      </c>
      <c r="T18" s="2" t="n">
        <v>1222.69</v>
      </c>
      <c r="U18" s="2" t="n">
        <v>1958.13</v>
      </c>
      <c r="V18" s="2" t="n">
        <v>1675.32</v>
      </c>
      <c r="W18" s="2" t="n">
        <v>904.15</v>
      </c>
      <c r="X18" s="2" t="n">
        <v>62.13</v>
      </c>
      <c r="Y18" s="2" t="n">
        <v>915.6900000000001</v>
      </c>
      <c r="Z18" s="2" t="n">
        <v>1242.74</v>
      </c>
      <c r="AA18" s="2" t="n">
        <v>1575.07</v>
      </c>
      <c r="AE18" s="10">
        <f>SUM(C18:AD18)</f>
        <v/>
      </c>
    </row>
    <row r="19">
      <c r="B19" t="inlineStr">
        <is>
          <t>Fringe 5990</t>
        </is>
      </c>
      <c r="S19" s="2" t="n">
        <v>135.68</v>
      </c>
      <c r="T19" s="2" t="n">
        <v>596.5700000000001</v>
      </c>
      <c r="U19" s="2" t="n">
        <v>941.87</v>
      </c>
      <c r="V19" s="2" t="n">
        <v>805.84</v>
      </c>
      <c r="W19" s="2" t="n">
        <v>454.43</v>
      </c>
      <c r="X19" s="2" t="n">
        <v>31.23</v>
      </c>
      <c r="Y19" s="2" t="n">
        <v>460.23</v>
      </c>
      <c r="Z19" s="2" t="n">
        <v>624.6</v>
      </c>
      <c r="AA19" s="2" t="n">
        <v>852.59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U21" s="2" t="n">
        <v>59233.44</v>
      </c>
      <c r="V21" s="2" t="n">
        <v>69233.64999999999</v>
      </c>
      <c r="X21" s="2" t="n">
        <v>67576.42999999999</v>
      </c>
      <c r="Y21" s="2" t="n">
        <v>76170.28999999999</v>
      </c>
      <c r="Z21" s="2" t="n">
        <v>68310.73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U27" s="2" t="n">
        <v>1812.55</v>
      </c>
      <c r="V27" s="2" t="n">
        <v>2118.55</v>
      </c>
      <c r="X27" s="2" t="n">
        <v>1979.99</v>
      </c>
      <c r="Y27" s="2" t="n">
        <v>2231.79</v>
      </c>
      <c r="Z27" s="2" t="n">
        <v>2001.5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S29" s="2" t="n">
        <v>630</v>
      </c>
      <c r="T29" s="2" t="n">
        <v>2332.29</v>
      </c>
      <c r="U29" s="2" t="n">
        <v>3810.3</v>
      </c>
      <c r="V29" s="2" t="n">
        <v>3259.99</v>
      </c>
      <c r="W29" s="2" t="n">
        <v>1804.06</v>
      </c>
      <c r="X29" s="2" t="n">
        <v>123.97</v>
      </c>
      <c r="Y29" s="2" t="n">
        <v>1827.08</v>
      </c>
      <c r="Z29" s="2" t="n">
        <v>2479.64</v>
      </c>
      <c r="AA29" s="2" t="n">
        <v>3307.93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R45" s="2" t="n">
        <v>385000</v>
      </c>
      <c r="AE45" s="10">
        <f>SUM(C45:AD45)</f>
        <v/>
      </c>
    </row>
    <row r="46">
      <c r="B46" t="inlineStr">
        <is>
          <t>Obligated</t>
        </is>
      </c>
      <c r="R46" s="2" t="n">
        <v>385000</v>
      </c>
      <c r="AE46" s="10">
        <f>SUM(C46:AD46)</f>
        <v/>
      </c>
    </row>
    <row r="47">
      <c r="B47" t="inlineStr">
        <is>
          <t>Expended</t>
        </is>
      </c>
      <c r="T47" s="2" t="n">
        <v>215000</v>
      </c>
      <c r="V47" s="2" t="n">
        <v>170000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2ADP074</t>
        </is>
      </c>
    </row>
    <row r="4">
      <c r="A4" s="1" t="inlineStr">
        <is>
          <t>ROLLUP #</t>
        </is>
      </c>
      <c r="B4" t="inlineStr">
        <is>
          <t>1074</t>
        </is>
      </c>
    </row>
    <row r="5">
      <c r="A5" s="1" t="inlineStr">
        <is>
          <t>PROJECT NAME</t>
        </is>
      </c>
      <c r="B5" t="inlineStr">
        <is>
          <t>Army Hybrid Electronics Project Collaboration with SEMI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DR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T18" s="2" t="n">
        <v>17.77</v>
      </c>
      <c r="Y18" s="2" t="n">
        <v>766.23</v>
      </c>
      <c r="Z18" s="2" t="n">
        <v>11445.48</v>
      </c>
      <c r="AA18" s="2" t="n">
        <v>4674.63</v>
      </c>
      <c r="AB18" s="2" t="n">
        <v>333.97</v>
      </c>
      <c r="AE18" s="10">
        <f>SUM(C18:AD18)</f>
        <v/>
      </c>
    </row>
    <row r="19">
      <c r="B19" t="inlineStr">
        <is>
          <t>Fringe 5990</t>
        </is>
      </c>
      <c r="T19" s="2" t="n">
        <v>8.550000000000001</v>
      </c>
      <c r="Y19" s="2" t="n">
        <v>385.11</v>
      </c>
      <c r="Z19" s="2" t="n">
        <v>5752.5</v>
      </c>
      <c r="AA19" s="2" t="n">
        <v>2530.37</v>
      </c>
      <c r="AB19" s="2" t="n">
        <v>180.79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U21" s="2" t="n">
        <v>337500</v>
      </c>
      <c r="V21" s="2" t="n">
        <v>-184045.11</v>
      </c>
      <c r="X21" s="2" t="n">
        <v>234485.29</v>
      </c>
      <c r="Y21" s="2" t="n">
        <v>-6090.15</v>
      </c>
      <c r="Z21" s="2" t="n">
        <v>624864.29</v>
      </c>
      <c r="AA21" s="2" t="n">
        <v>-0.01</v>
      </c>
      <c r="AB21" s="2" t="n">
        <v>691133.65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U27" s="2" t="n">
        <v>10327.5</v>
      </c>
      <c r="V27" s="2" t="n">
        <v>-5631.78</v>
      </c>
      <c r="X27" s="2" t="n">
        <v>6870.42</v>
      </c>
      <c r="Y27" s="2" t="n">
        <v>-178.44</v>
      </c>
      <c r="Z27" s="2" t="n">
        <v>18308.53</v>
      </c>
      <c r="AB27" s="2" t="n">
        <v>20941.35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T29" s="2" t="n">
        <v>34.58</v>
      </c>
      <c r="Y29" s="2" t="n">
        <v>1528.86</v>
      </c>
      <c r="Z29" s="2" t="n">
        <v>22837.2</v>
      </c>
      <c r="AA29" s="2" t="n">
        <v>9817.540000000001</v>
      </c>
      <c r="AB29" s="2" t="n">
        <v>701.45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S45" s="2" t="n">
        <v>12000000</v>
      </c>
      <c r="AE45" s="10">
        <f>SUM(C45:AD45)</f>
        <v/>
      </c>
    </row>
    <row r="46">
      <c r="B46" t="inlineStr">
        <is>
          <t>Obligated</t>
        </is>
      </c>
      <c r="S46" s="2" t="n">
        <v>12000000</v>
      </c>
      <c r="AE46" s="10">
        <f>SUM(C46:AD46)</f>
        <v/>
      </c>
    </row>
    <row r="47">
      <c r="B47" t="inlineStr">
        <is>
          <t>Expended</t>
        </is>
      </c>
      <c r="T47" s="2" t="n">
        <v>4000000</v>
      </c>
      <c r="W47" s="2" t="n">
        <v>500000</v>
      </c>
      <c r="X47" s="2" t="n">
        <v>1000000</v>
      </c>
      <c r="Y47" s="2" t="n">
        <v>1000000</v>
      </c>
      <c r="AB47" s="2" t="n">
        <v>1000000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2ADP075</t>
        </is>
      </c>
    </row>
    <row r="4">
      <c r="A4" s="1" t="inlineStr">
        <is>
          <t>ROLLUP #</t>
        </is>
      </c>
      <c r="B4" t="inlineStr">
        <is>
          <t>1075</t>
        </is>
      </c>
    </row>
    <row r="5">
      <c r="A5" s="1" t="inlineStr">
        <is>
          <t>PROJECT NAME</t>
        </is>
      </c>
      <c r="B5" t="inlineStr">
        <is>
          <t>Attritable Midwave Infrared Cameras for UAVs</t>
        </is>
      </c>
    </row>
    <row r="6">
      <c r="A6" s="1" t="inlineStr">
        <is>
          <t>TECHNICAL POINT OF CONTACT</t>
        </is>
      </c>
      <c r="B6" t="inlineStr">
        <is>
          <t>Steven McKeown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DN, DS, EP, EX, EZ, FA, FB, FP, GD,GU,HE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T18" s="2" t="n">
        <v>116.71</v>
      </c>
      <c r="U18" s="2" t="n">
        <v>92.68000000000001</v>
      </c>
      <c r="V18" s="2" t="n">
        <v>4221.25</v>
      </c>
      <c r="W18" s="2" t="n">
        <v>62.47</v>
      </c>
      <c r="X18" s="2" t="n">
        <v>53.3</v>
      </c>
      <c r="Z18" s="2" t="n">
        <v>78.31999999999999</v>
      </c>
      <c r="AB18" s="2" t="n">
        <v>79.31999999999999</v>
      </c>
      <c r="AE18" s="10">
        <f>SUM(C18:AD18)</f>
        <v/>
      </c>
    </row>
    <row r="19">
      <c r="B19" t="inlineStr">
        <is>
          <t>Fringe 5990</t>
        </is>
      </c>
      <c r="T19" s="2" t="n">
        <v>56.14</v>
      </c>
      <c r="U19" s="2" t="n">
        <v>44.58</v>
      </c>
      <c r="V19" s="2" t="n">
        <v>2030.42</v>
      </c>
      <c r="W19" s="2" t="n">
        <v>31.4</v>
      </c>
      <c r="X19" s="2" t="n">
        <v>26.79</v>
      </c>
      <c r="Z19" s="2" t="n">
        <v>39.36</v>
      </c>
      <c r="AB19" s="2" t="n">
        <v>42.94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S21" s="2" t="n">
        <v>126278.06</v>
      </c>
      <c r="T21" s="2" t="n">
        <v>527324.3199999999</v>
      </c>
      <c r="U21" s="2" t="n">
        <v>599670.6899999999</v>
      </c>
      <c r="V21" s="2" t="n">
        <v>174946.36</v>
      </c>
      <c r="W21" s="2" t="n">
        <v>66851.28999999999</v>
      </c>
      <c r="X21" s="2" t="n">
        <v>373170.69</v>
      </c>
      <c r="Y21" s="2" t="n">
        <v>285995.01</v>
      </c>
      <c r="Z21" s="2" t="n">
        <v>325845.87</v>
      </c>
      <c r="AA21" s="2" t="n">
        <v>151994.51</v>
      </c>
      <c r="AB21" s="2" t="n">
        <v>170592.89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V26" s="2" t="n">
        <v>355.8</v>
      </c>
      <c r="W26" s="2" t="n">
        <v>1236</v>
      </c>
      <c r="AE26" s="10">
        <f>SUM(C26:AD26)</f>
        <v/>
      </c>
    </row>
    <row r="27">
      <c r="B27" t="inlineStr">
        <is>
          <t>Sub K Overhead 5992</t>
        </is>
      </c>
      <c r="S27" s="2" t="n">
        <v>3573.67</v>
      </c>
      <c r="T27" s="2" t="n">
        <v>16426.56</v>
      </c>
      <c r="U27" s="2" t="n">
        <v>18349.92</v>
      </c>
      <c r="V27" s="2" t="n">
        <v>5353.35</v>
      </c>
      <c r="W27" s="2" t="n">
        <v>1958.75</v>
      </c>
      <c r="X27" s="2" t="n">
        <v>10933.9</v>
      </c>
      <c r="Y27" s="2" t="n">
        <v>8379.66</v>
      </c>
      <c r="Z27" s="2" t="n">
        <v>9547.280000000001</v>
      </c>
      <c r="AA27" s="2" t="n">
        <v>4605.43</v>
      </c>
      <c r="AB27" s="2" t="n">
        <v>5168.96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T29" s="2" t="n">
        <v>227.11</v>
      </c>
      <c r="U29" s="2" t="n">
        <v>180.35</v>
      </c>
      <c r="V29" s="2" t="n">
        <v>8681.559999999999</v>
      </c>
      <c r="W29" s="2" t="n">
        <v>1765.92</v>
      </c>
      <c r="X29" s="2" t="n">
        <v>106.35</v>
      </c>
      <c r="Z29" s="2" t="n">
        <v>156.27</v>
      </c>
      <c r="AB29" s="2" t="n">
        <v>166.59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S45" s="2" t="n">
        <v>5100000</v>
      </c>
      <c r="AE45" s="10">
        <f>SUM(C45:AD45)</f>
        <v/>
      </c>
    </row>
    <row r="46">
      <c r="B46" t="inlineStr">
        <is>
          <t>Obligated</t>
        </is>
      </c>
      <c r="S46" s="2" t="n">
        <v>4964442</v>
      </c>
      <c r="AE46" s="10">
        <f>SUM(C46:AD46)</f>
        <v/>
      </c>
    </row>
    <row r="47">
      <c r="B47" t="inlineStr">
        <is>
          <t>Expended</t>
        </is>
      </c>
      <c r="T47" s="2" t="n">
        <v>731800</v>
      </c>
      <c r="U47" s="2" t="n">
        <v>400000</v>
      </c>
      <c r="V47" s="2" t="n">
        <v>250000</v>
      </c>
      <c r="W47" s="2" t="n">
        <v>678549</v>
      </c>
      <c r="X47" s="2" t="n">
        <v>649093</v>
      </c>
      <c r="Z47" s="2" t="n">
        <v>600000</v>
      </c>
      <c r="AB47" s="2" t="n">
        <v>1000000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2ADP076</t>
        </is>
      </c>
    </row>
    <row r="4">
      <c r="A4" s="1" t="inlineStr">
        <is>
          <t>ROLLUP #</t>
        </is>
      </c>
      <c r="B4" t="inlineStr">
        <is>
          <t>1076</t>
        </is>
      </c>
    </row>
    <row r="5">
      <c r="A5" s="1" t="inlineStr">
        <is>
          <t>PROJECT NAME</t>
        </is>
      </c>
      <c r="B5" t="inlineStr">
        <is>
          <t>Intellectual Property Education Partnership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DP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S18" s="2" t="n">
        <v>84.13</v>
      </c>
      <c r="T18" s="2" t="n">
        <v>708.73</v>
      </c>
      <c r="U18" s="2" t="n">
        <v>1675.34</v>
      </c>
      <c r="V18" s="2" t="n">
        <v>657.45</v>
      </c>
      <c r="W18" s="2" t="n">
        <v>771.1799999999999</v>
      </c>
      <c r="Y18" s="2" t="n">
        <v>-106.37</v>
      </c>
      <c r="AE18" s="10">
        <f>SUM(C18:AD18)</f>
        <v/>
      </c>
    </row>
    <row r="19">
      <c r="B19" t="inlineStr">
        <is>
          <t>Fringe 5990</t>
        </is>
      </c>
      <c r="S19" s="2" t="n">
        <v>38.09</v>
      </c>
      <c r="T19" s="2" t="n">
        <v>343.27</v>
      </c>
      <c r="U19" s="2" t="n">
        <v>805.85</v>
      </c>
      <c r="V19" s="2" t="n">
        <v>316.24</v>
      </c>
      <c r="W19" s="2" t="n">
        <v>387.6</v>
      </c>
      <c r="Y19" s="2" t="n">
        <v>-53.46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T21" s="2" t="n">
        <v>57500</v>
      </c>
      <c r="U21" s="2" t="n">
        <v>115000</v>
      </c>
      <c r="W21" s="2" t="n">
        <v>57500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T27" s="2" t="n">
        <v>1759.5</v>
      </c>
      <c r="U27" s="2" t="n">
        <v>3519</v>
      </c>
      <c r="W27" s="2" t="n">
        <v>1684.75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S29" s="2" t="n">
        <v>176.93</v>
      </c>
      <c r="T29" s="2" t="n">
        <v>1365.93</v>
      </c>
      <c r="U29" s="2" t="n">
        <v>3260.02</v>
      </c>
      <c r="V29" s="2" t="n">
        <v>1279.33</v>
      </c>
      <c r="W29" s="2" t="n">
        <v>1538.75</v>
      </c>
      <c r="Y29" s="2" t="n">
        <v>-212.24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S45" s="2" t="n">
        <v>250000</v>
      </c>
      <c r="AE45" s="10">
        <f>SUM(C45:AD45)</f>
        <v/>
      </c>
    </row>
    <row r="46">
      <c r="B46" t="inlineStr">
        <is>
          <t>Obligated</t>
        </is>
      </c>
      <c r="S46" s="2" t="n">
        <v>250000</v>
      </c>
      <c r="AE46" s="10">
        <f>SUM(C46:AD46)</f>
        <v/>
      </c>
    </row>
    <row r="47">
      <c r="B47" t="inlineStr">
        <is>
          <t>Expended</t>
        </is>
      </c>
      <c r="T47" s="2" t="n">
        <v>150000</v>
      </c>
      <c r="U47" s="2" t="n">
        <v>100000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2ADP077</t>
        </is>
      </c>
    </row>
    <row r="4">
      <c r="A4" s="1" t="inlineStr">
        <is>
          <t>ROLLUP #</t>
        </is>
      </c>
      <c r="B4" t="inlineStr">
        <is>
          <t>1077</t>
        </is>
      </c>
    </row>
    <row r="5">
      <c r="A5" s="1" t="inlineStr">
        <is>
          <t>PROJECT NAME</t>
        </is>
      </c>
      <c r="B5" t="inlineStr">
        <is>
          <t>Next Gen Small Satellite</t>
        </is>
      </c>
    </row>
    <row r="6">
      <c r="A6" s="1" t="inlineStr">
        <is>
          <t>TECHNICAL POINT OF CONTACT</t>
        </is>
      </c>
      <c r="B6" t="inlineStr">
        <is>
          <t>Michael McConney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DQ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T18" s="2" t="n">
        <v>766.95</v>
      </c>
      <c r="U18" s="2" t="n">
        <v>1063.71</v>
      </c>
      <c r="V18" s="2" t="n">
        <v>-398.47</v>
      </c>
      <c r="W18" s="2" t="n">
        <v>797.78</v>
      </c>
      <c r="Z18" s="2" t="n">
        <v>12912.73</v>
      </c>
      <c r="AA18" s="2" t="n">
        <v>27903.68</v>
      </c>
      <c r="AB18" s="2" t="n">
        <v>8591.440000000001</v>
      </c>
      <c r="AE18" s="10">
        <f>SUM(C18:AD18)</f>
        <v/>
      </c>
    </row>
    <row r="19">
      <c r="B19" t="inlineStr">
        <is>
          <t>Fringe 5990</t>
        </is>
      </c>
      <c r="T19" s="2" t="n">
        <v>368.91</v>
      </c>
      <c r="U19" s="2" t="n">
        <v>511.65</v>
      </c>
      <c r="V19" s="2" t="n">
        <v>-191.66</v>
      </c>
      <c r="W19" s="2" t="n">
        <v>400.97</v>
      </c>
      <c r="Z19" s="2" t="n">
        <v>6489.94</v>
      </c>
      <c r="AA19" s="2" t="n">
        <v>15104.26</v>
      </c>
      <c r="AB19" s="2" t="n">
        <v>4097.72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T21" s="2" t="n">
        <v>1018710.19</v>
      </c>
      <c r="U21" s="2" t="n">
        <v>1095935.69</v>
      </c>
      <c r="V21" s="2" t="n">
        <v>1305255.65</v>
      </c>
      <c r="W21" s="2" t="n">
        <v>229703.25</v>
      </c>
      <c r="X21" s="2" t="n">
        <v>245563.28</v>
      </c>
      <c r="Y21" s="2" t="n">
        <v>824492.29</v>
      </c>
      <c r="Z21" s="2" t="n">
        <v>212065.37</v>
      </c>
      <c r="AA21" s="2" t="n">
        <v>95213.32000000001</v>
      </c>
      <c r="AB21" s="2" t="n">
        <v>37268.81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Z23" s="2" t="n">
        <v>39793</v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Z25" s="2" t="n">
        <v>155.6</v>
      </c>
      <c r="AB25" s="2" t="n">
        <v>144.17</v>
      </c>
      <c r="AE25" s="10">
        <f>SUM(C25:AD25)</f>
        <v/>
      </c>
    </row>
    <row r="26">
      <c r="B26" t="inlineStr">
        <is>
          <t>Material 5003</t>
        </is>
      </c>
      <c r="Z26" s="2" t="n">
        <v>3957.22</v>
      </c>
      <c r="AA26" s="2" t="n">
        <v>2313.05</v>
      </c>
      <c r="AB26" s="2" t="n">
        <v>3576.99</v>
      </c>
      <c r="AE26" s="10">
        <f>SUM(C26:AD26)</f>
        <v/>
      </c>
    </row>
    <row r="27">
      <c r="B27" t="inlineStr">
        <is>
          <t>Sub K Overhead 5992</t>
        </is>
      </c>
      <c r="T27" s="2" t="n">
        <v>31172.54</v>
      </c>
      <c r="U27" s="2" t="n">
        <v>33535.62</v>
      </c>
      <c r="V27" s="2" t="n">
        <v>39940.82</v>
      </c>
      <c r="W27" s="2" t="n">
        <v>6730.31</v>
      </c>
      <c r="X27" s="2" t="n">
        <v>7195.01</v>
      </c>
      <c r="Y27" s="2" t="n">
        <v>24157.62</v>
      </c>
      <c r="Z27" s="2" t="n">
        <v>6213.51</v>
      </c>
      <c r="AA27" s="2" t="n">
        <v>2884.97</v>
      </c>
      <c r="AB27" s="2" t="n">
        <v>1129.25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T29" s="2" t="n">
        <v>1492.4</v>
      </c>
      <c r="U29" s="2" t="n">
        <v>2069.85</v>
      </c>
      <c r="V29" s="2" t="n">
        <v>-775.37</v>
      </c>
      <c r="W29" s="2" t="n">
        <v>1591.82</v>
      </c>
      <c r="Z29" s="2" t="n">
        <v>31226.22</v>
      </c>
      <c r="AA29" s="2" t="n">
        <v>61754.38</v>
      </c>
      <c r="AB29" s="2" t="n">
        <v>20969.08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S45" s="2" t="n">
        <v>6000000</v>
      </c>
      <c r="AE45" s="10">
        <f>SUM(C45:AD45)</f>
        <v/>
      </c>
    </row>
    <row r="46">
      <c r="B46" t="inlineStr">
        <is>
          <t>Obligated</t>
        </is>
      </c>
      <c r="S46" s="2" t="n">
        <v>6000000</v>
      </c>
      <c r="AE46" s="10">
        <f>SUM(C46:AD46)</f>
        <v/>
      </c>
    </row>
    <row r="47">
      <c r="B47" t="inlineStr">
        <is>
          <t>Expended</t>
        </is>
      </c>
      <c r="T47" s="2" t="n">
        <v>4000000</v>
      </c>
      <c r="U47" s="2" t="n">
        <v>1500000</v>
      </c>
      <c r="V47" s="2" t="n">
        <v>500000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2ADP078</t>
        </is>
      </c>
    </row>
    <row r="4">
      <c r="A4" s="1" t="inlineStr">
        <is>
          <t>ROLLUP #</t>
        </is>
      </c>
      <c r="B4" t="inlineStr">
        <is>
          <t>1078</t>
        </is>
      </c>
    </row>
    <row r="5">
      <c r="A5" s="1" t="inlineStr">
        <is>
          <t>PROJECT NAME</t>
        </is>
      </c>
      <c r="B5" t="inlineStr">
        <is>
          <t>Force Improvements from Resilient Electronics Systems Phase 1 FIRES 1</t>
        </is>
      </c>
    </row>
    <row r="6">
      <c r="A6" s="1" t="inlineStr">
        <is>
          <t>TECHNICAL POINT OF CONTACT</t>
        </is>
      </c>
      <c r="B6" t="inlineStr">
        <is>
          <t>Andrew Beauchamp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DT</t>
        </is>
      </c>
    </row>
    <row r="11">
      <c r="A11" s="1" t="inlineStr">
        <is>
          <t>AVAILABLE FUNDS</t>
        </is>
      </c>
      <c r="B11" s="2" t="n">
        <v>0.01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S18" s="2" t="n">
        <v>50.48</v>
      </c>
      <c r="T18" s="2" t="n">
        <v>1429.09</v>
      </c>
      <c r="U18" s="2" t="n">
        <v>1808.31</v>
      </c>
      <c r="V18" s="2" t="n">
        <v>1329.62</v>
      </c>
      <c r="AE18" s="10">
        <f>SUM(C18:AD18)</f>
        <v/>
      </c>
    </row>
    <row r="19">
      <c r="B19" t="inlineStr">
        <is>
          <t>Fringe 5990</t>
        </is>
      </c>
      <c r="S19" s="2" t="n">
        <v>22.86</v>
      </c>
      <c r="T19" s="2" t="n">
        <v>688.8099999999999</v>
      </c>
      <c r="U19" s="2" t="n">
        <v>869.8</v>
      </c>
      <c r="V19" s="2" t="n">
        <v>639.55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U21" s="2" t="n">
        <v>242768.88</v>
      </c>
      <c r="V21" s="2" t="n">
        <v>44602.94</v>
      </c>
      <c r="X21" s="2" t="n">
        <v>5094.91</v>
      </c>
      <c r="Y21" s="2" t="n">
        <v>158.56</v>
      </c>
      <c r="Z21" s="2" t="n">
        <v>976.58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U27" s="2" t="n">
        <v>7428.73</v>
      </c>
      <c r="V27" s="2" t="n">
        <v>1364.85</v>
      </c>
      <c r="X27" s="2" t="n">
        <v>149.29</v>
      </c>
      <c r="Y27" s="2" t="n">
        <v>4.65</v>
      </c>
      <c r="Z27" s="2" t="n">
        <v>28.61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S29" s="2" t="n">
        <v>106.13</v>
      </c>
      <c r="T29" s="2" t="n">
        <v>2772.95</v>
      </c>
      <c r="U29" s="2" t="n">
        <v>3518.79</v>
      </c>
      <c r="V29" s="2" t="n">
        <v>2587.29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S45" s="2" t="n">
        <v>320000</v>
      </c>
      <c r="AE45" s="10">
        <f>SUM(C45:AD45)</f>
        <v/>
      </c>
    </row>
    <row r="46">
      <c r="B46" t="inlineStr">
        <is>
          <t>Obligated</t>
        </is>
      </c>
      <c r="S46" s="2" t="n">
        <v>320000</v>
      </c>
      <c r="AE46" s="10">
        <f>SUM(C46:AD46)</f>
        <v/>
      </c>
    </row>
    <row r="47">
      <c r="B47" t="inlineStr">
        <is>
          <t>Expended</t>
        </is>
      </c>
      <c r="T47" s="2" t="n">
        <v>150000</v>
      </c>
      <c r="U47" s="2" t="n">
        <v>50000</v>
      </c>
      <c r="V47" s="2" t="n">
        <v>20000</v>
      </c>
      <c r="W47" s="2" t="n">
        <v>100000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2ADP079</t>
        </is>
      </c>
    </row>
    <row r="4">
      <c r="A4" s="1" t="inlineStr">
        <is>
          <t>ROLLUP #</t>
        </is>
      </c>
      <c r="B4" t="inlineStr">
        <is>
          <t>1079</t>
        </is>
      </c>
    </row>
    <row r="5">
      <c r="A5" s="1" t="inlineStr">
        <is>
          <t>PROJECT NAME</t>
        </is>
      </c>
      <c r="B5" t="inlineStr">
        <is>
          <t>Resilient Electronics for Demanding Environments RED E Phase 1</t>
        </is>
      </c>
    </row>
    <row r="6">
      <c r="A6" s="1" t="inlineStr">
        <is>
          <t>TECHNICAL POINT OF CONTACT</t>
        </is>
      </c>
      <c r="B6" t="inlineStr">
        <is>
          <t>Andrew Beauchamp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DT, DW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T18" s="2" t="n">
        <v>33.65</v>
      </c>
      <c r="U18" s="2" t="n">
        <v>132.96</v>
      </c>
      <c r="V18" s="2" t="n">
        <v>62.18</v>
      </c>
      <c r="X18" s="2" t="n">
        <v>8.880000000000001</v>
      </c>
      <c r="Z18" s="2" t="n">
        <v>3877.86</v>
      </c>
      <c r="AA18" s="2" t="n">
        <v>838.54</v>
      </c>
      <c r="AE18" s="10">
        <f>SUM(C18:AD18)</f>
        <v/>
      </c>
    </row>
    <row r="19">
      <c r="B19" t="inlineStr">
        <is>
          <t>Fringe 5990</t>
        </is>
      </c>
      <c r="T19" s="2" t="n">
        <v>16.19</v>
      </c>
      <c r="U19" s="2" t="n">
        <v>63.95</v>
      </c>
      <c r="V19" s="2" t="n">
        <v>29.91</v>
      </c>
      <c r="X19" s="2" t="n">
        <v>4.46</v>
      </c>
      <c r="Z19" s="2" t="n">
        <v>1949.02</v>
      </c>
      <c r="AA19" s="2" t="n">
        <v>453.91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V21" s="2" t="n">
        <v>186025.19</v>
      </c>
      <c r="W21" s="2" t="n">
        <v>35998.5</v>
      </c>
      <c r="X21" s="2" t="n">
        <v>27976.31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V27" s="2" t="n">
        <v>5692.37</v>
      </c>
      <c r="W27" s="2" t="n">
        <v>1054.76</v>
      </c>
      <c r="X27" s="2" t="n">
        <v>819.71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T29" s="2" t="n">
        <v>65.48</v>
      </c>
      <c r="U29" s="2" t="n">
        <v>258.72</v>
      </c>
      <c r="V29" s="2" t="n">
        <v>121</v>
      </c>
      <c r="X29" s="2" t="n">
        <v>17.71</v>
      </c>
      <c r="Z29" s="2" t="n">
        <v>7737.5</v>
      </c>
      <c r="AA29" s="2" t="n">
        <v>1761.09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T45" s="2" t="n">
        <v>275000</v>
      </c>
      <c r="AE45" s="10">
        <f>SUM(C45:AD45)</f>
        <v/>
      </c>
    </row>
    <row r="46">
      <c r="B46" t="inlineStr">
        <is>
          <t>Obligated</t>
        </is>
      </c>
      <c r="T46" s="2" t="n">
        <v>275000</v>
      </c>
      <c r="AE46" s="10">
        <f>SUM(C46:AD46)</f>
        <v/>
      </c>
    </row>
    <row r="47">
      <c r="B47" t="inlineStr">
        <is>
          <t>Expended</t>
        </is>
      </c>
      <c r="U47" s="2" t="n">
        <v>102550.37</v>
      </c>
      <c r="W47" s="2" t="n">
        <v>172449.63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2ADP080</t>
        </is>
      </c>
    </row>
    <row r="4">
      <c r="A4" s="1" t="inlineStr">
        <is>
          <t>ROLLUP #</t>
        </is>
      </c>
      <c r="B4" t="inlineStr">
        <is>
          <t>1080</t>
        </is>
      </c>
    </row>
    <row r="5">
      <c r="A5" s="1" t="inlineStr">
        <is>
          <t>PROJECT NAME</t>
        </is>
      </c>
      <c r="B5" t="inlineStr">
        <is>
          <t>NASIC T2 Program FY23</t>
        </is>
      </c>
    </row>
    <row r="6">
      <c r="A6" s="1" t="inlineStr">
        <is>
          <t>TECHNICAL POINT OF CONTACT</t>
        </is>
      </c>
      <c r="B6" t="inlineStr">
        <is>
          <t>Timothy Deedy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DX, DY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U18" s="2" t="n">
        <v>1865.64</v>
      </c>
      <c r="V18" s="2" t="n">
        <v>2271.11</v>
      </c>
      <c r="W18" s="2" t="n">
        <v>1409.41</v>
      </c>
      <c r="Z18" s="2" t="n">
        <v>1941.62</v>
      </c>
      <c r="AA18" s="2" t="n">
        <v>3482.02</v>
      </c>
      <c r="AB18" s="2" t="n">
        <v>865.6900000000001</v>
      </c>
      <c r="AE18" s="10">
        <f>SUM(C18:AD18)</f>
        <v/>
      </c>
    </row>
    <row r="19">
      <c r="B19" t="inlineStr">
        <is>
          <t>Fringe 5990</t>
        </is>
      </c>
      <c r="U19" s="2" t="n">
        <v>897.37</v>
      </c>
      <c r="V19" s="2" t="n">
        <v>1092.4</v>
      </c>
      <c r="W19" s="2" t="n">
        <v>708.37</v>
      </c>
      <c r="Z19" s="2" t="n">
        <v>975.86</v>
      </c>
      <c r="AA19" s="2" t="n">
        <v>1884.82</v>
      </c>
      <c r="AB19" s="2" t="n">
        <v>468.61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V21" s="2" t="n">
        <v>99536</v>
      </c>
      <c r="X21" s="2" t="n">
        <v>134705.91</v>
      </c>
      <c r="Y21" s="2" t="n">
        <v>210101.51</v>
      </c>
      <c r="Z21" s="2" t="n">
        <v>132351.63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V27" s="2" t="n">
        <v>3045.81</v>
      </c>
      <c r="X27" s="2" t="n">
        <v>3946.88</v>
      </c>
      <c r="Y27" s="2" t="n">
        <v>6155.98</v>
      </c>
      <c r="Z27" s="2" t="n">
        <v>3877.91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U29" s="2" t="n">
        <v>3630.32</v>
      </c>
      <c r="V29" s="2" t="n">
        <v>4419.32</v>
      </c>
      <c r="W29" s="2" t="n">
        <v>2812.2</v>
      </c>
      <c r="Z29" s="2" t="n">
        <v>3874.12</v>
      </c>
      <c r="AA29" s="2" t="n">
        <v>7312.85</v>
      </c>
      <c r="AB29" s="2" t="n">
        <v>1818.16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T45" s="2" t="n">
        <v>635343</v>
      </c>
      <c r="AE45" s="10">
        <f>SUM(C45:AD45)</f>
        <v/>
      </c>
    </row>
    <row r="46">
      <c r="B46" t="inlineStr">
        <is>
          <t>Obligated</t>
        </is>
      </c>
      <c r="T46" s="2" t="n">
        <v>635343</v>
      </c>
      <c r="AE46" s="10">
        <f>SUM(C46:AD46)</f>
        <v/>
      </c>
    </row>
    <row r="47">
      <c r="B47" t="inlineStr">
        <is>
          <t>Expended</t>
        </is>
      </c>
      <c r="U47" s="2" t="n">
        <v>154004.15</v>
      </c>
      <c r="V47" s="2" t="n">
        <v>150000</v>
      </c>
      <c r="W47" s="2" t="n">
        <v>331338.85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2ADP081</t>
        </is>
      </c>
    </row>
    <row r="4">
      <c r="A4" s="1" t="inlineStr">
        <is>
          <t>ROLLUP #</t>
        </is>
      </c>
      <c r="B4" t="inlineStr">
        <is>
          <t>1081</t>
        </is>
      </c>
    </row>
    <row r="5">
      <c r="A5" s="1" t="inlineStr">
        <is>
          <t>PROJECT NAME</t>
        </is>
      </c>
      <c r="B5" t="inlineStr">
        <is>
          <t>Compact Wideband Frequency Agile Microwave Filters for WARCHAMP Phase 1</t>
        </is>
      </c>
    </row>
    <row r="6">
      <c r="A6" s="1" t="inlineStr">
        <is>
          <t>TECHNICAL POINT OF CONTACT</t>
        </is>
      </c>
      <c r="B6" t="inlineStr">
        <is>
          <t>Michael R Page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EA, AB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U18" s="2" t="n">
        <v>1276.45</v>
      </c>
      <c r="V18" s="2" t="n">
        <v>1533.7</v>
      </c>
      <c r="W18" s="2" t="n">
        <v>1391.76</v>
      </c>
      <c r="X18" s="2" t="n">
        <v>186.15</v>
      </c>
      <c r="Y18" s="2" t="n">
        <v>1009.6</v>
      </c>
      <c r="Z18" s="2" t="n">
        <v>11150.69</v>
      </c>
      <c r="AE18" s="10">
        <f>SUM(C18:AD18)</f>
        <v/>
      </c>
    </row>
    <row r="19">
      <c r="B19" t="inlineStr">
        <is>
          <t>Fringe 5990</t>
        </is>
      </c>
      <c r="U19" s="2" t="n">
        <v>613.98</v>
      </c>
      <c r="V19" s="2" t="n">
        <v>737.71</v>
      </c>
      <c r="W19" s="2" t="n">
        <v>699.5</v>
      </c>
      <c r="X19" s="2" t="n">
        <v>93.56</v>
      </c>
      <c r="Y19" s="2" t="n">
        <v>507.43</v>
      </c>
      <c r="Z19" s="2" t="n">
        <v>5604.33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V21" s="2" t="n">
        <v>90026.97</v>
      </c>
      <c r="W21" s="2" t="n">
        <v>227151.44</v>
      </c>
      <c r="X21" s="2" t="n">
        <v>236519.28</v>
      </c>
      <c r="Y21" s="2" t="n">
        <v>90893.14</v>
      </c>
      <c r="Z21" s="2" t="n">
        <v>114797.17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V27" s="2" t="n">
        <v>2754.82</v>
      </c>
      <c r="W27" s="2" t="n">
        <v>6655.54</v>
      </c>
      <c r="X27" s="2" t="n">
        <v>6930.01</v>
      </c>
      <c r="Y27" s="2" t="n">
        <v>2663.17</v>
      </c>
      <c r="Z27" s="2" t="n">
        <v>3363.56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U29" s="2" t="n">
        <v>2483.83</v>
      </c>
      <c r="V29" s="2" t="n">
        <v>2984.41</v>
      </c>
      <c r="W29" s="2" t="n">
        <v>2776.99</v>
      </c>
      <c r="X29" s="2" t="n">
        <v>371.43</v>
      </c>
      <c r="Y29" s="2" t="n">
        <v>2014.47</v>
      </c>
      <c r="Z29" s="2" t="n">
        <v>22248.99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U32" s="2" t="n">
        <v>5610</v>
      </c>
      <c r="V32" s="2" t="n">
        <v>5610</v>
      </c>
      <c r="W32" s="2" t="n">
        <v>5613</v>
      </c>
      <c r="AE32" s="10">
        <f>SUM(C32:AD32)</f>
        <v/>
      </c>
    </row>
    <row r="33">
      <c r="B33" t="inlineStr">
        <is>
          <t>Fringe 5990</t>
        </is>
      </c>
      <c r="U33" s="2" t="n">
        <v>2700</v>
      </c>
      <c r="V33" s="2" t="n">
        <v>2700</v>
      </c>
      <c r="W33" s="2" t="n">
        <v>2697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U35" s="2" t="n">
        <v>189848</v>
      </c>
      <c r="V35" s="2" t="n">
        <v>284772</v>
      </c>
      <c r="W35" s="2" t="n">
        <v>284768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U41" s="2" t="n">
        <v>5810</v>
      </c>
      <c r="V41" s="2" t="n">
        <v>8715</v>
      </c>
      <c r="W41" s="2" t="n">
        <v>8712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U43" s="2" t="n">
        <v>10920</v>
      </c>
      <c r="V43" s="2" t="n">
        <v>10920</v>
      </c>
      <c r="W43" s="2" t="n">
        <v>10915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T45" s="2" t="n">
        <v>840310</v>
      </c>
      <c r="AE45" s="10">
        <f>SUM(C45:AD45)</f>
        <v/>
      </c>
    </row>
    <row r="46">
      <c r="B46" t="inlineStr">
        <is>
          <t>Obligated</t>
        </is>
      </c>
      <c r="T46" s="2" t="n">
        <v>840310</v>
      </c>
      <c r="AE46" s="10">
        <f>SUM(C46:AD46)</f>
        <v/>
      </c>
    </row>
    <row r="47">
      <c r="B47" t="inlineStr">
        <is>
          <t>Expended</t>
        </is>
      </c>
      <c r="V47" s="2" t="n">
        <v>840310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2ADP082</t>
        </is>
      </c>
    </row>
    <row r="4">
      <c r="A4" s="1" t="inlineStr">
        <is>
          <t>ROLLUP #</t>
        </is>
      </c>
      <c r="B4" t="inlineStr">
        <is>
          <t>1082</t>
        </is>
      </c>
    </row>
    <row r="5">
      <c r="A5" s="1" t="inlineStr">
        <is>
          <t>PROJECT NAME</t>
        </is>
      </c>
      <c r="B5" t="inlineStr">
        <is>
          <t>Adding Rheoencephalography to Wearable Multimodal Cerebrophysiological Monitor for Continuous Aircrew State Assessment</t>
        </is>
      </c>
    </row>
    <row r="6">
      <c r="A6" s="1" t="inlineStr">
        <is>
          <t>TECHNICAL POINT OF CONTACT</t>
        </is>
      </c>
      <c r="B6" t="inlineStr">
        <is>
          <t>Jason Foley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DW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U18" s="2" t="n">
        <v>1192.28</v>
      </c>
      <c r="V18" s="2" t="n">
        <v>3835.81</v>
      </c>
      <c r="W18" s="2" t="n">
        <v>2132.24</v>
      </c>
      <c r="X18" s="2" t="n">
        <v>1267.66</v>
      </c>
      <c r="Y18" s="2" t="n">
        <v>-734.47</v>
      </c>
      <c r="AE18" s="10">
        <f>SUM(C18:AD18)</f>
        <v/>
      </c>
    </row>
    <row r="19">
      <c r="B19" t="inlineStr">
        <is>
          <t>Fringe 5990</t>
        </is>
      </c>
      <c r="U19" s="2" t="n">
        <v>573.49</v>
      </c>
      <c r="V19" s="2" t="n">
        <v>1845.03</v>
      </c>
      <c r="W19" s="2" t="n">
        <v>1071.67</v>
      </c>
      <c r="X19" s="2" t="n">
        <v>637.13</v>
      </c>
      <c r="Y19" s="2" t="n">
        <v>-369.14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U21" s="2" t="n">
        <v>144375</v>
      </c>
      <c r="V21" s="2" t="n">
        <v>240625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X25" s="2" t="n">
        <v>18.59</v>
      </c>
      <c r="Y25" s="2" t="n">
        <v>17.63</v>
      </c>
      <c r="AE25" s="10">
        <f>SUM(C25:AD25)</f>
        <v/>
      </c>
    </row>
    <row r="26">
      <c r="B26" t="inlineStr">
        <is>
          <t>Material 5003</t>
        </is>
      </c>
      <c r="X26" s="2" t="n">
        <v>615.83</v>
      </c>
      <c r="Y26" s="2" t="n">
        <v>63.12</v>
      </c>
      <c r="AE26" s="10">
        <f>SUM(C26:AD26)</f>
        <v/>
      </c>
    </row>
    <row r="27">
      <c r="B27" t="inlineStr">
        <is>
          <t>Sub K Overhead 5992</t>
        </is>
      </c>
      <c r="U27" s="2" t="n">
        <v>4417.88</v>
      </c>
      <c r="V27" s="2" t="n">
        <v>7363.12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U29" s="2" t="n">
        <v>2320.04</v>
      </c>
      <c r="V29" s="2" t="n">
        <v>7464.05</v>
      </c>
      <c r="W29" s="2" t="n">
        <v>4254.47</v>
      </c>
      <c r="X29" s="2" t="n">
        <v>3371.82</v>
      </c>
      <c r="Y29" s="2" t="n">
        <v>-1358.26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T32" s="2" t="n">
        <v>916</v>
      </c>
      <c r="U32" s="2" t="n">
        <v>2748</v>
      </c>
      <c r="V32" s="2" t="n">
        <v>2748</v>
      </c>
      <c r="W32" s="2" t="n">
        <v>1831</v>
      </c>
      <c r="AE32" s="10">
        <f>SUM(C32:AD32)</f>
        <v/>
      </c>
    </row>
    <row r="33">
      <c r="B33" t="inlineStr">
        <is>
          <t>Fringe 5990</t>
        </is>
      </c>
      <c r="T33" s="2" t="n">
        <v>441</v>
      </c>
      <c r="U33" s="2" t="n">
        <v>1323</v>
      </c>
      <c r="V33" s="2" t="n">
        <v>1323</v>
      </c>
      <c r="W33" s="2" t="n">
        <v>879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T35" s="2" t="n">
        <v>42778</v>
      </c>
      <c r="U35" s="2" t="n">
        <v>128334</v>
      </c>
      <c r="V35" s="2" t="n">
        <v>128334</v>
      </c>
      <c r="W35" s="2" t="n">
        <v>85554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T41" s="2" t="n">
        <v>1309</v>
      </c>
      <c r="U41" s="2" t="n">
        <v>3927</v>
      </c>
      <c r="V41" s="2" t="n">
        <v>3927</v>
      </c>
      <c r="W41" s="2" t="n">
        <v>2618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T43" s="2" t="n">
        <v>1779</v>
      </c>
      <c r="U43" s="2" t="n">
        <v>5337</v>
      </c>
      <c r="V43" s="2" t="n">
        <v>5337</v>
      </c>
      <c r="W43" s="2" t="n">
        <v>3557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T45" s="2" t="n">
        <v>425000</v>
      </c>
      <c r="AE45" s="10">
        <f>SUM(C45:AD45)</f>
        <v/>
      </c>
    </row>
    <row r="46">
      <c r="B46" t="inlineStr">
        <is>
          <t>Obligated</t>
        </is>
      </c>
      <c r="T46" s="2" t="n">
        <v>425000</v>
      </c>
      <c r="AE46" s="10">
        <f>SUM(C46:AD46)</f>
        <v/>
      </c>
    </row>
    <row r="47">
      <c r="B47" t="inlineStr">
        <is>
          <t>Expended</t>
        </is>
      </c>
      <c r="U47" s="2" t="n">
        <v>400000</v>
      </c>
      <c r="V47" s="2" t="n">
        <v>25000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2ADP083</t>
        </is>
      </c>
    </row>
    <row r="4">
      <c r="A4" s="1" t="inlineStr">
        <is>
          <t>ROLLUP #</t>
        </is>
      </c>
      <c r="B4" t="inlineStr">
        <is>
          <t>1083</t>
        </is>
      </c>
    </row>
    <row r="5">
      <c r="A5" s="1" t="inlineStr">
        <is>
          <t>PROJECT NAME</t>
        </is>
      </c>
      <c r="B5" t="inlineStr">
        <is>
          <t>OSD Strategic Investment for Heterogeneous Integration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Core, PC ADP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DV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Z21" s="2" t="n">
        <v>207780.09</v>
      </c>
      <c r="AB21" s="2" t="n">
        <v>62256.09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Z27" s="2" t="n">
        <v>6087.96</v>
      </c>
      <c r="AB27" s="2" t="n">
        <v>1886.36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T32" s="2" t="n">
        <v>226174.22</v>
      </c>
      <c r="AE32" s="10">
        <f>SUM(C32:AD32)</f>
        <v/>
      </c>
    </row>
    <row r="33">
      <c r="B33" t="inlineStr">
        <is>
          <t>Fringe 5990</t>
        </is>
      </c>
      <c r="T33" s="2" t="n">
        <v>108789.8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X35" s="2" t="n">
        <v>53571.42</v>
      </c>
      <c r="Y35" s="2" t="n">
        <v>53571.42</v>
      </c>
      <c r="Z35" s="2" t="n">
        <v>53571.42</v>
      </c>
      <c r="AA35" s="2" t="n">
        <v>53571.42</v>
      </c>
      <c r="AB35" s="2" t="n">
        <v>53571.42</v>
      </c>
      <c r="AC35" s="2" t="n">
        <v>53571.42</v>
      </c>
      <c r="AD35" s="2" t="n">
        <v>53571.42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X41" s="2" t="n">
        <v>1639.29</v>
      </c>
      <c r="Y41" s="2" t="n">
        <v>1639.29</v>
      </c>
      <c r="Z41" s="2" t="n">
        <v>1639.29</v>
      </c>
      <c r="AA41" s="2" t="n">
        <v>1639.29</v>
      </c>
      <c r="AB41" s="2" t="n">
        <v>1639.29</v>
      </c>
      <c r="AC41" s="2" t="n">
        <v>1639.29</v>
      </c>
      <c r="AD41" s="2" t="n">
        <v>1639.29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T43" s="2" t="n">
        <v>440109.23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T45" s="2" t="n">
        <v>1290373.28</v>
      </c>
      <c r="AE45" s="10">
        <f>SUM(C45:AD45)</f>
        <v/>
      </c>
    </row>
    <row r="46">
      <c r="B46" t="inlineStr">
        <is>
          <t>Obligated</t>
        </is>
      </c>
      <c r="T46" s="2" t="n">
        <v>1290373.28</v>
      </c>
      <c r="AE46" s="10">
        <f>SUM(C46:AD46)</f>
        <v/>
      </c>
    </row>
    <row r="47">
      <c r="B47" t="inlineStr">
        <is>
          <t>Expended</t>
        </is>
      </c>
      <c r="U47" s="2" t="n">
        <v>775073.28</v>
      </c>
      <c r="V47" s="2" t="n">
        <v>75000</v>
      </c>
      <c r="W47" s="2" t="n">
        <v>440300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2ADP084</t>
        </is>
      </c>
    </row>
    <row r="4">
      <c r="A4" s="1" t="inlineStr">
        <is>
          <t>ROLLUP #</t>
        </is>
      </c>
      <c r="B4" t="inlineStr">
        <is>
          <t>1084</t>
        </is>
      </c>
    </row>
    <row r="5">
      <c r="A5" s="1" t="inlineStr">
        <is>
          <t>PROJECT NAME</t>
        </is>
      </c>
      <c r="B5" t="inlineStr">
        <is>
          <t>FHE to Mitigate Climate Change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ADP-Tech, PC ADP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DV</t>
        </is>
      </c>
    </row>
    <row r="11">
      <c r="A11" s="1" t="inlineStr">
        <is>
          <t>AVAILABLE FUNDS</t>
        </is>
      </c>
      <c r="B11" s="2" t="n">
        <v>14695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U18" s="2" t="n">
        <v>8.880000000000001</v>
      </c>
      <c r="V18" s="2" t="n">
        <v>385.28</v>
      </c>
      <c r="W18" s="2" t="n">
        <v>30455.11</v>
      </c>
      <c r="X18" s="2" t="n">
        <v>-2786.06</v>
      </c>
      <c r="AE18" s="10">
        <f>SUM(C18:AD18)</f>
        <v/>
      </c>
    </row>
    <row r="19">
      <c r="B19" t="inlineStr">
        <is>
          <t>Fringe 5990</t>
        </is>
      </c>
      <c r="U19" s="2" t="n">
        <v>4.27</v>
      </c>
      <c r="V19" s="2" t="n">
        <v>185.32</v>
      </c>
      <c r="W19" s="2" t="n">
        <v>15306.73</v>
      </c>
      <c r="X19" s="2" t="n">
        <v>-1400.27</v>
      </c>
      <c r="AE19" s="10">
        <f>SUM(C19:AD19)</f>
        <v/>
      </c>
    </row>
    <row r="20">
      <c r="B20" t="inlineStr">
        <is>
          <t>Travel 5004</t>
        </is>
      </c>
      <c r="W20" s="2" t="n">
        <v>114.11</v>
      </c>
      <c r="AE20" s="10">
        <f>SUM(C20:AD20)</f>
        <v/>
      </c>
    </row>
    <row r="21">
      <c r="B21" t="inlineStr">
        <is>
          <t>Subcontracting 5005</t>
        </is>
      </c>
      <c r="Y21" s="2" t="n">
        <v>123869.62</v>
      </c>
      <c r="Z21" s="2" t="n">
        <v>207765.6</v>
      </c>
      <c r="AB21" s="2" t="n">
        <v>297535.86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Y27" s="2" t="n">
        <v>3629.38</v>
      </c>
      <c r="Z27" s="2" t="n">
        <v>6087.53</v>
      </c>
      <c r="AB27" s="2" t="n">
        <v>9015.34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U29" s="2" t="n">
        <v>17.28</v>
      </c>
      <c r="V29" s="2" t="n">
        <v>749.7</v>
      </c>
      <c r="W29" s="2" t="n">
        <v>60918.68</v>
      </c>
      <c r="X29" s="2" t="n">
        <v>-5559.02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T32" s="2" t="n">
        <v>1104</v>
      </c>
      <c r="U32" s="2" t="n">
        <v>3312</v>
      </c>
      <c r="V32" s="2" t="n">
        <v>3312</v>
      </c>
      <c r="W32" s="2" t="n">
        <v>3312</v>
      </c>
      <c r="X32" s="2" t="n">
        <v>3312</v>
      </c>
      <c r="Y32" s="2" t="n">
        <v>3312</v>
      </c>
      <c r="Z32" s="2" t="n">
        <v>3312</v>
      </c>
      <c r="AA32" s="2" t="n">
        <v>3312</v>
      </c>
      <c r="AB32" s="2" t="n">
        <v>3312</v>
      </c>
      <c r="AC32" s="2" t="n">
        <v>1114</v>
      </c>
      <c r="AE32" s="10">
        <f>SUM(C32:AD32)</f>
        <v/>
      </c>
    </row>
    <row r="33">
      <c r="B33" t="inlineStr">
        <is>
          <t>Fringe 5990</t>
        </is>
      </c>
      <c r="T33" s="2" t="n">
        <v>531</v>
      </c>
      <c r="U33" s="2" t="n">
        <v>1593</v>
      </c>
      <c r="V33" s="2" t="n">
        <v>1593</v>
      </c>
      <c r="W33" s="2" t="n">
        <v>1593</v>
      </c>
      <c r="X33" s="2" t="n">
        <v>1593</v>
      </c>
      <c r="Y33" s="2" t="n">
        <v>1593</v>
      </c>
      <c r="Z33" s="2" t="n">
        <v>1593</v>
      </c>
      <c r="AA33" s="2" t="n">
        <v>1593</v>
      </c>
      <c r="AB33" s="2" t="n">
        <v>1593</v>
      </c>
      <c r="AC33" s="2" t="n">
        <v>537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T35" s="2" t="n">
        <v>57191.81</v>
      </c>
      <c r="U35" s="2" t="n">
        <v>171575.43</v>
      </c>
      <c r="V35" s="2" t="n">
        <v>171575.43</v>
      </c>
      <c r="W35" s="2" t="n">
        <v>171575.43</v>
      </c>
      <c r="X35" s="2" t="n">
        <v>171575.43</v>
      </c>
      <c r="Y35" s="2" t="n">
        <v>171575.43</v>
      </c>
      <c r="Z35" s="2" t="n">
        <v>171575.43</v>
      </c>
      <c r="AA35" s="2" t="n">
        <v>171575.43</v>
      </c>
      <c r="AB35" s="2" t="n">
        <v>171575.43</v>
      </c>
      <c r="AC35" s="2" t="n">
        <v>57191.75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T41" s="2" t="n">
        <v>1700.71</v>
      </c>
      <c r="U41" s="2" t="n">
        <v>5102.13</v>
      </c>
      <c r="V41" s="2" t="n">
        <v>5102.13</v>
      </c>
      <c r="W41" s="2" t="n">
        <v>5102.13</v>
      </c>
      <c r="X41" s="2" t="n">
        <v>5102.13</v>
      </c>
      <c r="Y41" s="2" t="n">
        <v>5102.13</v>
      </c>
      <c r="Z41" s="2" t="n">
        <v>5102.13</v>
      </c>
      <c r="AA41" s="2" t="n">
        <v>5102.13</v>
      </c>
      <c r="AB41" s="2" t="n">
        <v>5102.13</v>
      </c>
      <c r="AC41" s="2" t="n">
        <v>1700.25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T43" s="2" t="n">
        <v>2149</v>
      </c>
      <c r="U43" s="2" t="n">
        <v>6447</v>
      </c>
      <c r="V43" s="2" t="n">
        <v>6447</v>
      </c>
      <c r="W43" s="2" t="n">
        <v>6447</v>
      </c>
      <c r="X43" s="2" t="n">
        <v>6447</v>
      </c>
      <c r="Y43" s="2" t="n">
        <v>6447</v>
      </c>
      <c r="Z43" s="2" t="n">
        <v>6447</v>
      </c>
      <c r="AA43" s="2" t="n">
        <v>6447</v>
      </c>
      <c r="AB43" s="2" t="n">
        <v>6447</v>
      </c>
      <c r="AC43" s="2" t="n">
        <v>2149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T45" s="2" t="n">
        <v>1644300</v>
      </c>
      <c r="AE45" s="10">
        <f>SUM(C45:AD45)</f>
        <v/>
      </c>
    </row>
    <row r="46">
      <c r="B46" t="inlineStr">
        <is>
          <t>Obligated</t>
        </is>
      </c>
      <c r="T46" s="2" t="n">
        <v>1644300</v>
      </c>
      <c r="AE46" s="10">
        <f>SUM(C46:AD46)</f>
        <v/>
      </c>
    </row>
    <row r="47">
      <c r="B47" t="inlineStr">
        <is>
          <t>Expended</t>
        </is>
      </c>
      <c r="U47" s="2" t="n">
        <v>30000</v>
      </c>
      <c r="V47" s="2" t="n">
        <v>100000</v>
      </c>
      <c r="W47" s="2" t="n">
        <v>1214226.72</v>
      </c>
      <c r="X47" s="2" t="n">
        <v>300073.2800000003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2ADP085</t>
        </is>
      </c>
    </row>
    <row r="4">
      <c r="A4" s="1" t="inlineStr">
        <is>
          <t>ROLLUP #</t>
        </is>
      </c>
      <c r="B4" t="inlineStr">
        <is>
          <t>1085</t>
        </is>
      </c>
    </row>
    <row r="5">
      <c r="A5" s="1" t="inlineStr">
        <is>
          <t>PROJECT NAME</t>
        </is>
      </c>
      <c r="B5" t="inlineStr">
        <is>
          <t>OSD High Temperature CMOS Signal Electronics</t>
        </is>
      </c>
    </row>
    <row r="6">
      <c r="A6" s="1" t="inlineStr">
        <is>
          <t>TECHNICAL POINT OF CONTACT</t>
        </is>
      </c>
      <c r="B6" t="inlineStr">
        <is>
          <t>Katie Burzynski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DZ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U18" s="2" t="n">
        <v>1746.4</v>
      </c>
      <c r="V18" s="2" t="n">
        <v>1542.36</v>
      </c>
      <c r="W18" s="2" t="n">
        <v>1048.66</v>
      </c>
      <c r="X18" s="2" t="n">
        <v>1696.46</v>
      </c>
      <c r="Y18" s="2" t="n">
        <v>13420.23</v>
      </c>
      <c r="Z18" s="2" t="n">
        <v>-1022.51</v>
      </c>
      <c r="AE18" s="10">
        <f>SUM(C18:AD18)</f>
        <v/>
      </c>
    </row>
    <row r="19">
      <c r="B19" t="inlineStr">
        <is>
          <t>Fringe 5990</t>
        </is>
      </c>
      <c r="U19" s="2" t="n">
        <v>840.01</v>
      </c>
      <c r="V19" s="2" t="n">
        <v>741.88</v>
      </c>
      <c r="W19" s="2" t="n">
        <v>527.0599999999999</v>
      </c>
      <c r="X19" s="2" t="n">
        <v>852.64</v>
      </c>
      <c r="Y19" s="2" t="n">
        <v>6745.01</v>
      </c>
      <c r="Z19" s="2" t="n">
        <v>-513.91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U21" s="2" t="n">
        <v>74999.17</v>
      </c>
      <c r="V21" s="2" t="n">
        <v>11316.75</v>
      </c>
      <c r="X21" s="2" t="n">
        <v>172237.33</v>
      </c>
      <c r="Y21" s="2" t="n">
        <v>350161.41</v>
      </c>
      <c r="Z21" s="2" t="n">
        <v>286357.55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Y25" s="2" t="n">
        <v>886.05</v>
      </c>
      <c r="AE25" s="10">
        <f>SUM(C25:AD25)</f>
        <v/>
      </c>
    </row>
    <row r="26">
      <c r="B26" t="inlineStr">
        <is>
          <t>Material 5003</t>
        </is>
      </c>
      <c r="Y26" s="2" t="n">
        <v>2650</v>
      </c>
      <c r="AE26" s="10">
        <f>SUM(C26:AD26)</f>
        <v/>
      </c>
    </row>
    <row r="27">
      <c r="B27" t="inlineStr">
        <is>
          <t>Sub K Overhead 5992</t>
        </is>
      </c>
      <c r="U27" s="2" t="n">
        <v>2294.97</v>
      </c>
      <c r="V27" s="2" t="n">
        <v>346.3</v>
      </c>
      <c r="X27" s="2" t="n">
        <v>5046.55</v>
      </c>
      <c r="Y27" s="2" t="n">
        <v>10259.73</v>
      </c>
      <c r="Z27" s="2" t="n">
        <v>8390.280000000001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U29" s="2" t="n">
        <v>3398.3</v>
      </c>
      <c r="V29" s="2" t="n">
        <v>3001.26</v>
      </c>
      <c r="W29" s="2" t="n">
        <v>2092.4</v>
      </c>
      <c r="X29" s="2" t="n">
        <v>3384.95</v>
      </c>
      <c r="Y29" s="2" t="n">
        <v>31472.95</v>
      </c>
      <c r="Z29" s="2" t="n">
        <v>-2040.21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T32" s="2" t="n">
        <v>1627</v>
      </c>
      <c r="U32" s="2" t="n">
        <v>4881</v>
      </c>
      <c r="V32" s="2" t="n">
        <v>4881</v>
      </c>
      <c r="W32" s="2" t="n">
        <v>4881</v>
      </c>
      <c r="X32" s="2" t="n">
        <v>4879</v>
      </c>
      <c r="AE32" s="10">
        <f>SUM(C32:AD32)</f>
        <v/>
      </c>
    </row>
    <row r="33">
      <c r="B33" t="inlineStr">
        <is>
          <t>Fringe 5990</t>
        </is>
      </c>
      <c r="T33" s="2" t="n">
        <v>783</v>
      </c>
      <c r="U33" s="2" t="n">
        <v>2349</v>
      </c>
      <c r="V33" s="2" t="n">
        <v>2349</v>
      </c>
      <c r="W33" s="2" t="n">
        <v>2349</v>
      </c>
      <c r="X33" s="2" t="n">
        <v>2343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U35" s="2" t="n">
        <v>69230</v>
      </c>
      <c r="V35" s="2" t="n">
        <v>207690</v>
      </c>
      <c r="W35" s="2" t="n">
        <v>207690</v>
      </c>
      <c r="X35" s="2" t="n">
        <v>207690</v>
      </c>
      <c r="Y35" s="2" t="n">
        <v>207690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U41" s="2" t="n">
        <v>2118</v>
      </c>
      <c r="V41" s="2" t="n">
        <v>6354</v>
      </c>
      <c r="W41" s="2" t="n">
        <v>6354</v>
      </c>
      <c r="X41" s="2" t="n">
        <v>6354</v>
      </c>
      <c r="Y41" s="2" t="n">
        <v>6360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T43" s="2" t="n">
        <v>3165</v>
      </c>
      <c r="U43" s="2" t="n">
        <v>9495</v>
      </c>
      <c r="V43" s="2" t="n">
        <v>9495</v>
      </c>
      <c r="W43" s="2" t="n">
        <v>9495</v>
      </c>
      <c r="X43" s="2" t="n">
        <v>9498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T45" s="2" t="n">
        <v>1000000</v>
      </c>
      <c r="AE45" s="10">
        <f>SUM(C45:AD45)</f>
        <v/>
      </c>
    </row>
    <row r="46">
      <c r="B46" t="inlineStr">
        <is>
          <t>Obligated</t>
        </is>
      </c>
      <c r="T46" s="2" t="n">
        <v>1000000</v>
      </c>
      <c r="AE46" s="10">
        <f>SUM(C46:AD46)</f>
        <v/>
      </c>
    </row>
    <row r="47">
      <c r="B47" t="inlineStr">
        <is>
          <t>Expended</t>
        </is>
      </c>
      <c r="V47" s="2" t="n">
        <v>300000</v>
      </c>
      <c r="W47" s="2" t="n">
        <v>700000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2ADP086</t>
        </is>
      </c>
    </row>
    <row r="4">
      <c r="A4" s="1" t="inlineStr">
        <is>
          <t>ROLLUP #</t>
        </is>
      </c>
      <c r="B4" t="inlineStr">
        <is>
          <t>1086</t>
        </is>
      </c>
    </row>
    <row r="5">
      <c r="A5" s="1" t="inlineStr">
        <is>
          <t>PROJECT NAME</t>
        </is>
      </c>
      <c r="B5" t="inlineStr">
        <is>
          <t>MECAMIC Metal Embedded Chiplet Assembly Heterogeneous Integration Advancement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EG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V18" s="2" t="n">
        <v>1661.26</v>
      </c>
      <c r="W18" s="2" t="n">
        <v>2617.55</v>
      </c>
      <c r="Y18" s="2" t="n">
        <v>-151.01</v>
      </c>
      <c r="AE18" s="10">
        <f>SUM(C18:AD18)</f>
        <v/>
      </c>
    </row>
    <row r="19">
      <c r="B19" t="inlineStr">
        <is>
          <t>Fringe 5990</t>
        </is>
      </c>
      <c r="V19" s="2" t="n">
        <v>799.0700000000001</v>
      </c>
      <c r="W19" s="2" t="n">
        <v>1315.58</v>
      </c>
      <c r="Y19" s="2" t="n">
        <v>-75.90000000000001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X21" s="2" t="n">
        <v>206802.23</v>
      </c>
      <c r="Y21" s="2" t="n">
        <v>172546.17</v>
      </c>
      <c r="Z21" s="2" t="n">
        <v>41189.88</v>
      </c>
      <c r="AA21" s="2" t="n">
        <v>44206.42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V26" s="2" t="n">
        <v>154.67</v>
      </c>
      <c r="W26" s="2" t="n">
        <v>673.3200000000001</v>
      </c>
      <c r="AE26" s="10">
        <f>SUM(C26:AD26)</f>
        <v/>
      </c>
    </row>
    <row r="27">
      <c r="B27" t="inlineStr">
        <is>
          <t>Sub K Overhead 5992</t>
        </is>
      </c>
      <c r="X27" s="2" t="n">
        <v>6059.3</v>
      </c>
      <c r="Y27" s="2" t="n">
        <v>5055.6</v>
      </c>
      <c r="Z27" s="2" t="n">
        <v>1206.87</v>
      </c>
      <c r="AA27" s="2" t="n">
        <v>1339.45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V29" s="2" t="n">
        <v>3435.85</v>
      </c>
      <c r="W29" s="2" t="n">
        <v>6116.9</v>
      </c>
      <c r="Y29" s="2" t="n">
        <v>-301.31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W35" s="2" t="n">
        <v>72306</v>
      </c>
      <c r="X35" s="2" t="n">
        <v>108459</v>
      </c>
      <c r="Y35" s="2" t="n">
        <v>108459</v>
      </c>
      <c r="Z35" s="2" t="n">
        <v>108459</v>
      </c>
      <c r="AA35" s="2" t="n">
        <v>72300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W41" s="2" t="n">
        <v>2118</v>
      </c>
      <c r="X41" s="2" t="n">
        <v>3177</v>
      </c>
      <c r="Y41" s="2" t="n">
        <v>3177</v>
      </c>
      <c r="Z41" s="2" t="n">
        <v>3177</v>
      </c>
      <c r="AA41" s="2" t="n">
        <v>2122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U45" s="2" t="n">
        <v>1500000</v>
      </c>
      <c r="AE45" s="10">
        <f>SUM(C45:AD45)</f>
        <v/>
      </c>
    </row>
    <row r="46">
      <c r="B46" t="inlineStr">
        <is>
          <t>Obligated</t>
        </is>
      </c>
      <c r="U46" s="2" t="n">
        <v>500000</v>
      </c>
      <c r="AE46" s="10">
        <f>SUM(C46:AD46)</f>
        <v/>
      </c>
    </row>
    <row r="47">
      <c r="B47" t="inlineStr">
        <is>
          <t>Expended</t>
        </is>
      </c>
      <c r="V47" s="2" t="n">
        <v>100000</v>
      </c>
      <c r="W47" s="2" t="n">
        <v>300000</v>
      </c>
      <c r="X47" s="2" t="n">
        <v>100000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2ADP087</t>
        </is>
      </c>
    </row>
    <row r="4">
      <c r="A4" s="1" t="inlineStr">
        <is>
          <t>ROLLUP #</t>
        </is>
      </c>
      <c r="B4" t="inlineStr">
        <is>
          <t>1087</t>
        </is>
      </c>
    </row>
    <row r="5">
      <c r="A5" s="1" t="inlineStr">
        <is>
          <t>PROJECT NAME</t>
        </is>
      </c>
      <c r="B5" t="inlineStr">
        <is>
          <t>Large Area Additive Manufacturing For Confirmal Apertures LAAMCA Ph III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EC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U18" s="2" t="n">
        <v>1073.12</v>
      </c>
      <c r="V18" s="2" t="n">
        <v>15476.34</v>
      </c>
      <c r="W18" s="2" t="n">
        <v>10662.32</v>
      </c>
      <c r="X18" s="2" t="n">
        <v>4882.58</v>
      </c>
      <c r="Y18" s="2" t="n">
        <v>17128.76</v>
      </c>
      <c r="Z18" s="2" t="n">
        <v>16131.45</v>
      </c>
      <c r="AA18" s="2" t="n">
        <v>7509</v>
      </c>
      <c r="AB18" s="2" t="n">
        <v>9580.6</v>
      </c>
      <c r="AE18" s="10">
        <f>SUM(C18:AD18)</f>
        <v/>
      </c>
    </row>
    <row r="19">
      <c r="B19" t="inlineStr">
        <is>
          <t>Fringe 5990</t>
        </is>
      </c>
      <c r="U19" s="2" t="n">
        <v>516.17</v>
      </c>
      <c r="V19" s="2" t="n">
        <v>7444.11</v>
      </c>
      <c r="W19" s="2" t="n">
        <v>5358.89</v>
      </c>
      <c r="X19" s="2" t="n">
        <v>2453.98</v>
      </c>
      <c r="Y19" s="2" t="n">
        <v>8608.91</v>
      </c>
      <c r="Z19" s="2" t="n">
        <v>8107.66</v>
      </c>
      <c r="AA19" s="2" t="n">
        <v>4064.63</v>
      </c>
      <c r="AB19" s="2" t="n">
        <v>5185.69</v>
      </c>
      <c r="AE19" s="10">
        <f>SUM(C19:AD19)</f>
        <v/>
      </c>
    </row>
    <row r="20">
      <c r="B20" t="inlineStr">
        <is>
          <t>Travel 5004</t>
        </is>
      </c>
      <c r="V20" s="2" t="n">
        <v>185.93</v>
      </c>
      <c r="Z20" s="2" t="n">
        <v>56</v>
      </c>
      <c r="AA20" s="2" t="n">
        <v>28</v>
      </c>
      <c r="AE20" s="10">
        <f>SUM(C20:AD20)</f>
        <v/>
      </c>
    </row>
    <row r="21">
      <c r="B21" t="inlineStr">
        <is>
          <t>Subcontracting 5005</t>
        </is>
      </c>
      <c r="U21" s="2" t="n">
        <v>66803.67999999999</v>
      </c>
      <c r="V21" s="2" t="n">
        <v>99741.64999999999</v>
      </c>
      <c r="W21" s="2" t="n">
        <v>40860.49</v>
      </c>
      <c r="X21" s="2" t="n">
        <v>62151.43</v>
      </c>
      <c r="Y21" s="2" t="n">
        <v>139596.33</v>
      </c>
      <c r="Z21" s="2" t="n">
        <v>17464.13</v>
      </c>
      <c r="AA21" s="2" t="n">
        <v>11238.09</v>
      </c>
      <c r="AB21" s="2" t="n">
        <v>2524.84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Z23" s="2" t="n">
        <v>17700</v>
      </c>
      <c r="AA23" s="2" t="n">
        <v>17700</v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V25" s="2" t="n">
        <v>5240.6</v>
      </c>
      <c r="X25" s="2" t="n">
        <v>8937.049999999999</v>
      </c>
      <c r="Y25" s="2" t="n">
        <v>9001.91</v>
      </c>
      <c r="Z25" s="2" t="n">
        <v>-16163.65</v>
      </c>
      <c r="AA25" s="2" t="n">
        <v>1500</v>
      </c>
      <c r="AB25" s="2" t="n">
        <v>6207.27</v>
      </c>
      <c r="AE25" s="10">
        <f>SUM(C25:AD25)</f>
        <v/>
      </c>
    </row>
    <row r="26">
      <c r="B26" t="inlineStr">
        <is>
          <t>Material 5003</t>
        </is>
      </c>
      <c r="V26" s="2" t="n">
        <v>1566.92</v>
      </c>
      <c r="W26" s="2" t="n">
        <v>1622.55</v>
      </c>
      <c r="X26" s="2" t="n">
        <v>265.14</v>
      </c>
      <c r="Y26" s="2" t="n">
        <v>3156.37</v>
      </c>
      <c r="Z26" s="2" t="n">
        <v>1902.83</v>
      </c>
      <c r="AA26" s="2" t="n">
        <v>249.99</v>
      </c>
      <c r="AB26" s="2" t="n">
        <v>6363.6</v>
      </c>
      <c r="AE26" s="10">
        <f>SUM(C26:AD26)</f>
        <v/>
      </c>
    </row>
    <row r="27">
      <c r="B27" t="inlineStr">
        <is>
          <t>Sub K Overhead 5992</t>
        </is>
      </c>
      <c r="U27" s="2" t="n">
        <v>2044.19</v>
      </c>
      <c r="V27" s="2" t="n">
        <v>3052.1</v>
      </c>
      <c r="W27" s="2" t="n">
        <v>1197.21</v>
      </c>
      <c r="X27" s="2" t="n">
        <v>1821.04</v>
      </c>
      <c r="Y27" s="2" t="n">
        <v>4090.17</v>
      </c>
      <c r="Z27" s="2" t="n">
        <v>511.7</v>
      </c>
      <c r="AA27" s="2" t="n">
        <v>340.51</v>
      </c>
      <c r="AB27" s="2" t="n">
        <v>76.5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U29" s="2" t="n">
        <v>2088.17</v>
      </c>
      <c r="V29" s="2" t="n">
        <v>39303.88</v>
      </c>
      <c r="W29" s="2" t="n">
        <v>23429.15</v>
      </c>
      <c r="X29" s="2" t="n">
        <v>21961.81</v>
      </c>
      <c r="Y29" s="2" t="n">
        <v>50322.04</v>
      </c>
      <c r="Z29" s="2" t="n">
        <v>13324.54</v>
      </c>
      <c r="AA29" s="2" t="n">
        <v>18192.92</v>
      </c>
      <c r="AB29" s="2" t="n">
        <v>37248.89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U32" s="2" t="n">
        <v>18345</v>
      </c>
      <c r="V32" s="2" t="n">
        <v>18345</v>
      </c>
      <c r="W32" s="2" t="n">
        <v>18345</v>
      </c>
      <c r="X32" s="2" t="n">
        <v>18345</v>
      </c>
      <c r="Y32" s="2" t="n">
        <v>6111</v>
      </c>
      <c r="AE32" s="10">
        <f>SUM(C32:AD32)</f>
        <v/>
      </c>
    </row>
    <row r="33">
      <c r="B33" t="inlineStr">
        <is>
          <t>Fringe 5990</t>
        </is>
      </c>
      <c r="U33" s="2" t="n">
        <v>8823</v>
      </c>
      <c r="V33" s="2" t="n">
        <v>8823</v>
      </c>
      <c r="W33" s="2" t="n">
        <v>8823</v>
      </c>
      <c r="X33" s="2" t="n">
        <v>8823</v>
      </c>
      <c r="Y33" s="2" t="n">
        <v>2943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U35" s="2" t="n">
        <v>100933</v>
      </c>
      <c r="V35" s="2" t="n">
        <v>114477</v>
      </c>
      <c r="W35" s="2" t="n">
        <v>114477</v>
      </c>
      <c r="X35" s="2" t="n">
        <v>114477</v>
      </c>
      <c r="Y35" s="2" t="n">
        <v>51702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U39" s="2" t="n">
        <v>11538</v>
      </c>
      <c r="V39" s="2" t="n">
        <v>11538</v>
      </c>
      <c r="W39" s="2" t="n">
        <v>11538</v>
      </c>
      <c r="X39" s="2" t="n">
        <v>11538</v>
      </c>
      <c r="Y39" s="2" t="n">
        <v>3848</v>
      </c>
      <c r="AE39" s="10">
        <f>SUM(C39:AD39)</f>
        <v/>
      </c>
    </row>
    <row r="40">
      <c r="B40" t="inlineStr">
        <is>
          <t>Material 5003</t>
        </is>
      </c>
      <c r="U40" s="2" t="n">
        <v>10038</v>
      </c>
      <c r="V40" s="2" t="n">
        <v>10038</v>
      </c>
      <c r="W40" s="2" t="n">
        <v>10038</v>
      </c>
      <c r="X40" s="2" t="n">
        <v>10038</v>
      </c>
      <c r="Y40" s="2" t="n">
        <v>3348</v>
      </c>
      <c r="AE40" s="10">
        <f>SUM(C40:AD40)</f>
        <v/>
      </c>
    </row>
    <row r="41">
      <c r="B41" t="inlineStr">
        <is>
          <t>Sub K Overhead 5992</t>
        </is>
      </c>
      <c r="U41" s="2" t="n">
        <v>3087</v>
      </c>
      <c r="V41" s="2" t="n">
        <v>3501</v>
      </c>
      <c r="W41" s="2" t="n">
        <v>3501</v>
      </c>
      <c r="X41" s="2" t="n">
        <v>3501</v>
      </c>
      <c r="Y41" s="2" t="n">
        <v>1589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U43" s="2" t="n">
        <v>64047</v>
      </c>
      <c r="V43" s="2" t="n">
        <v>64047</v>
      </c>
      <c r="W43" s="2" t="n">
        <v>64047</v>
      </c>
      <c r="X43" s="2" t="n">
        <v>64047</v>
      </c>
      <c r="Y43" s="2" t="n">
        <v>21341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U45" s="2" t="n">
        <v>1000000</v>
      </c>
      <c r="AE45" s="10">
        <f>SUM(C45:AD45)</f>
        <v/>
      </c>
    </row>
    <row r="46">
      <c r="B46" t="inlineStr">
        <is>
          <t>Obligated</t>
        </is>
      </c>
      <c r="U46" s="2" t="n">
        <v>1000000</v>
      </c>
      <c r="AE46" s="10">
        <f>SUM(C46:AD46)</f>
        <v/>
      </c>
    </row>
    <row r="47">
      <c r="B47" t="inlineStr">
        <is>
          <t>Expended</t>
        </is>
      </c>
      <c r="V47" s="2" t="n">
        <v>200000</v>
      </c>
      <c r="W47" s="2" t="n">
        <v>800000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2026-04-29T18:59:13Z</dcterms:created>
  <dcterms:modified xsi:type="dcterms:W3CDTF">2026-04-29T21:05:56Z</dcterms:modified>
</cp:coreProperties>
</file>