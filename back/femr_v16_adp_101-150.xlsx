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PC041" sheetId="1" state="visible" r:id="rId1"/>
    <sheet name="1PC042" sheetId="2" state="visible" r:id="rId2"/>
    <sheet name="1PC043" sheetId="3" state="visible" r:id="rId3"/>
    <sheet name="1PC044" sheetId="4" state="visible" r:id="rId4"/>
    <sheet name="1PC045" sheetId="5" state="visible" r:id="rId5"/>
    <sheet name="1PC046" sheetId="6" state="visible" r:id="rId6"/>
    <sheet name="1PC047" sheetId="7" state="visible" r:id="rId7"/>
    <sheet name="1PC048" sheetId="8" state="visible" r:id="rId8"/>
    <sheet name="1PC049" sheetId="9" state="visible" r:id="rId9"/>
    <sheet name="1PC050" sheetId="10" state="visible" r:id="rId10"/>
    <sheet name="1PC051" sheetId="11" state="visible" r:id="rId11"/>
    <sheet name="1PC052" sheetId="12" state="visible" r:id="rId12"/>
    <sheet name="1PC053" sheetId="13" state="visible" r:id="rId13"/>
    <sheet name="1PC054" sheetId="14" state="visible" r:id="rId14"/>
    <sheet name="2ADP001" sheetId="15" state="visible" r:id="rId15"/>
    <sheet name="2ADP002" sheetId="16" state="visible" r:id="rId16"/>
    <sheet name="2ADP003" sheetId="17" state="visible" r:id="rId17"/>
    <sheet name="2ADP004" sheetId="18" state="visible" r:id="rId18"/>
    <sheet name="2ADP005" sheetId="19" state="visible" r:id="rId19"/>
    <sheet name="2ADP006" sheetId="20" state="visible" r:id="rId20"/>
    <sheet name="2ADP007" sheetId="21" state="visible" r:id="rId21"/>
    <sheet name="2ADP008" sheetId="22" state="visible" r:id="rId22"/>
    <sheet name="2ADP009" sheetId="23" state="visible" r:id="rId23"/>
    <sheet name="2ADP010" sheetId="24" state="visible" r:id="rId24"/>
    <sheet name="2ADP011" sheetId="25" state="visible" r:id="rId25"/>
    <sheet name="2ADP012" sheetId="26" state="visible" r:id="rId26"/>
    <sheet name="2ADP013" sheetId="27" state="visible" r:id="rId27"/>
    <sheet name="2ADP014" sheetId="28" state="visible" r:id="rId28"/>
    <sheet name="2ADP015" sheetId="29" state="visible" r:id="rId29"/>
    <sheet name="2ADP016" sheetId="30" state="visible" r:id="rId30"/>
    <sheet name="2ADP017" sheetId="31" state="visible" r:id="rId31"/>
    <sheet name="2ADP018" sheetId="32" state="visible" r:id="rId32"/>
    <sheet name="2ADP019" sheetId="33" state="visible" r:id="rId33"/>
    <sheet name="2ADP020" sheetId="34" state="visible" r:id="rId34"/>
    <sheet name="2ADP021" sheetId="35" state="visible" r:id="rId35"/>
    <sheet name="2ADP022" sheetId="36" state="visible" r:id="rId36"/>
    <sheet name="2ADP023" sheetId="37" state="visible" r:id="rId37"/>
    <sheet name="2ADP024" sheetId="38" state="visible" r:id="rId38"/>
    <sheet name="2ADP025" sheetId="39" state="visible" r:id="rId39"/>
    <sheet name="2ADP026" sheetId="40" state="visible" r:id="rId40"/>
    <sheet name="2ADP027" sheetId="41" state="visible" r:id="rId41"/>
    <sheet name="2ADP028" sheetId="42" state="visible" r:id="rId42"/>
    <sheet name="2ADP029" sheetId="43" state="visible" r:id="rId43"/>
    <sheet name="2ADP030" sheetId="44" state="visible" r:id="rId44"/>
    <sheet name="2ADP031" sheetId="45" state="visible" r:id="rId45"/>
    <sheet name="2ADP033" sheetId="46" state="visible" r:id="rId46"/>
    <sheet name="2ADP034" sheetId="47" state="visible" r:id="rId47"/>
    <sheet name="2ADP035" sheetId="48" state="visible" r:id="rId48"/>
    <sheet name="2ADP036" sheetId="49" state="visible" r:id="rId49"/>
    <sheet name="2ADP03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1PC041</t>
        </is>
      </c>
    </row>
    <row r="4">
      <c r="A4" s="1" t="inlineStr">
        <is>
          <t>ROLLUP #</t>
        </is>
      </c>
      <c r="B4" t="inlineStr">
        <is>
          <t>710040</t>
        </is>
      </c>
    </row>
    <row r="5">
      <c r="A5" s="1" t="inlineStr">
        <is>
          <t>PROJECT NAME</t>
        </is>
      </c>
      <c r="B5" t="inlineStr">
        <is>
          <t>PC 5 Worcester Polytechnic 5.1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2373.36</v>
      </c>
      <c r="J18" s="2" t="n">
        <v>8171.99</v>
      </c>
      <c r="N18" s="2" t="n">
        <v>129.78</v>
      </c>
      <c r="AE18" s="10">
        <f>SUM(C18:AD18)</f>
        <v/>
      </c>
    </row>
    <row r="19">
      <c r="B19" t="inlineStr">
        <is>
          <t>Fringe 5990</t>
        </is>
      </c>
      <c r="F19" s="2" t="n">
        <v>986.84</v>
      </c>
      <c r="J19" s="2" t="n">
        <v>3225.48</v>
      </c>
      <c r="N19" s="2" t="n">
        <v>55.7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50.98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796.37</v>
      </c>
      <c r="J29" s="2" t="n">
        <v>6161.47</v>
      </c>
      <c r="N29" s="2" t="n">
        <v>239.53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1PC042</t>
        </is>
      </c>
    </row>
    <row r="4">
      <c r="A4" s="1" t="inlineStr">
        <is>
          <t>ROLLUP #</t>
        </is>
      </c>
      <c r="B4" t="inlineStr">
        <is>
          <t>710041</t>
        </is>
      </c>
    </row>
    <row r="5">
      <c r="A5" s="1" t="inlineStr">
        <is>
          <t>PROJECT NAME</t>
        </is>
      </c>
      <c r="B5" t="inlineStr">
        <is>
          <t>PC 5 Binghamton 5.2A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1PC043</t>
        </is>
      </c>
    </row>
    <row r="4">
      <c r="A4" s="1" t="inlineStr">
        <is>
          <t>ROLLUP #</t>
        </is>
      </c>
      <c r="B4" t="inlineStr">
        <is>
          <t>710042</t>
        </is>
      </c>
    </row>
    <row r="5">
      <c r="A5" s="1" t="inlineStr">
        <is>
          <t>PROJECT NAME</t>
        </is>
      </c>
      <c r="B5" t="inlineStr">
        <is>
          <t>PC 5 SysteMECH 5.2B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1PC044</t>
        </is>
      </c>
    </row>
    <row r="4">
      <c r="A4" s="1" t="inlineStr">
        <is>
          <t>ROLLUP #</t>
        </is>
      </c>
      <c r="B4" t="inlineStr">
        <is>
          <t>710043</t>
        </is>
      </c>
    </row>
    <row r="5">
      <c r="A5" s="1" t="inlineStr">
        <is>
          <t>PROJECT NAME</t>
        </is>
      </c>
      <c r="B5" t="inlineStr">
        <is>
          <t>PC 5 HP 5.3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1PC045</t>
        </is>
      </c>
    </row>
    <row r="4">
      <c r="A4" s="1" t="inlineStr">
        <is>
          <t>ROLLUP #</t>
        </is>
      </c>
      <c r="B4" t="inlineStr">
        <is>
          <t>710044</t>
        </is>
      </c>
    </row>
    <row r="5">
      <c r="A5" s="1" t="inlineStr">
        <is>
          <t>PROJECT NAME</t>
        </is>
      </c>
      <c r="B5" t="inlineStr">
        <is>
          <t>PC 5 GE Global 5.4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-128.13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1PC046</t>
        </is>
      </c>
    </row>
    <row r="4">
      <c r="A4" s="1" t="inlineStr">
        <is>
          <t>ROLLUP #</t>
        </is>
      </c>
      <c r="B4" t="inlineStr">
        <is>
          <t>710045</t>
        </is>
      </c>
    </row>
    <row r="5">
      <c r="A5" s="1" t="inlineStr">
        <is>
          <t>PROJECT NAME</t>
        </is>
      </c>
      <c r="B5" t="inlineStr">
        <is>
          <t>PC 5 Binghamton LMC 5.5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1PC047</t>
        </is>
      </c>
    </row>
    <row r="4">
      <c r="A4" s="1" t="inlineStr">
        <is>
          <t>ROLLUP #</t>
        </is>
      </c>
      <c r="B4" t="inlineStr">
        <is>
          <t>710046</t>
        </is>
      </c>
    </row>
    <row r="5">
      <c r="A5" s="1" t="inlineStr">
        <is>
          <t>PROJECT NAME</t>
        </is>
      </c>
      <c r="B5" t="inlineStr">
        <is>
          <t>PC 5 Auburn 5.6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1PC048</t>
        </is>
      </c>
    </row>
    <row r="4">
      <c r="A4" s="1" t="inlineStr">
        <is>
          <t>ROLLUP #</t>
        </is>
      </c>
      <c r="B4" t="inlineStr">
        <is>
          <t>710047</t>
        </is>
      </c>
    </row>
    <row r="5">
      <c r="A5" s="1" t="inlineStr">
        <is>
          <t>PROJECT NAME</t>
        </is>
      </c>
      <c r="B5" t="inlineStr">
        <is>
          <t>PC 5 Boeing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1PC049</t>
        </is>
      </c>
    </row>
    <row r="4">
      <c r="A4" s="1" t="inlineStr">
        <is>
          <t>ROLLUP #</t>
        </is>
      </c>
      <c r="B4" t="inlineStr">
        <is>
          <t>710048</t>
        </is>
      </c>
    </row>
    <row r="5">
      <c r="A5" s="1" t="inlineStr">
        <is>
          <t>PROJECT NAME</t>
        </is>
      </c>
      <c r="B5" t="inlineStr">
        <is>
          <t>PC 5 GE Global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1PC050</t>
        </is>
      </c>
    </row>
    <row r="4">
      <c r="A4" s="1" t="inlineStr">
        <is>
          <t>ROLLUP #</t>
        </is>
      </c>
      <c r="B4" t="inlineStr">
        <is>
          <t>710049</t>
        </is>
      </c>
    </row>
    <row r="5">
      <c r="A5" s="1" t="inlineStr">
        <is>
          <t>PROJECT NAME</t>
        </is>
      </c>
      <c r="B5" t="inlineStr">
        <is>
          <t>PC 5 GE Global 5.8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1PC051</t>
        </is>
      </c>
    </row>
    <row r="4">
      <c r="A4" s="1" t="inlineStr">
        <is>
          <t>ROLLUP #</t>
        </is>
      </c>
      <c r="B4" t="inlineStr">
        <is>
          <t>710050</t>
        </is>
      </c>
    </row>
    <row r="5">
      <c r="A5" s="1" t="inlineStr">
        <is>
          <t>PROJECT NAME</t>
        </is>
      </c>
      <c r="B5" t="inlineStr">
        <is>
          <t>PC 5 Boeing 5.9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1PC052</t>
        </is>
      </c>
    </row>
    <row r="4">
      <c r="A4" s="1" t="inlineStr">
        <is>
          <t>ROLLUP #</t>
        </is>
      </c>
      <c r="B4" t="inlineStr">
        <is>
          <t>710051</t>
        </is>
      </c>
    </row>
    <row r="5">
      <c r="A5" s="1" t="inlineStr">
        <is>
          <t>PROJECT NAME</t>
        </is>
      </c>
      <c r="B5" t="inlineStr">
        <is>
          <t>PC 5 Lockheed Martin 5.10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1133.88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1PC053</t>
        </is>
      </c>
    </row>
    <row r="4">
      <c r="A4" s="1" t="inlineStr">
        <is>
          <t>ROLLUP #</t>
        </is>
      </c>
      <c r="B4" t="inlineStr">
        <is>
          <t>711000</t>
        </is>
      </c>
    </row>
    <row r="5">
      <c r="A5" s="1" t="inlineStr">
        <is>
          <t>PROJECT NAME</t>
        </is>
      </c>
      <c r="B5" t="inlineStr">
        <is>
          <t>PC 0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1PC054</t>
        </is>
      </c>
    </row>
    <row r="4">
      <c r="A4" s="1" t="inlineStr">
        <is>
          <t>ROLLUP #</t>
        </is>
      </c>
      <c r="B4" t="inlineStr">
        <is>
          <t>711001</t>
        </is>
      </c>
    </row>
    <row r="5">
      <c r="A5" s="1" t="inlineStr">
        <is>
          <t>PROJECT NAME</t>
        </is>
      </c>
      <c r="B5" t="inlineStr">
        <is>
          <t>PC 0 GE Global Research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422.23+C30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2ADP002</t>
        </is>
      </c>
    </row>
    <row r="4">
      <c r="A4" s="1" t="inlineStr">
        <is>
          <t>ROLLUP #</t>
        </is>
      </c>
      <c r="B4" t="inlineStr">
        <is>
          <t>1002</t>
        </is>
      </c>
    </row>
    <row r="5">
      <c r="A5" s="1" t="inlineStr">
        <is>
          <t>PROJECT NAME</t>
        </is>
      </c>
      <c r="B5" t="inlineStr">
        <is>
          <t>Civil Military Collaboration Initiative Phase II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2665.24</v>
      </c>
      <c r="J18" s="2" t="n">
        <v>25923.6</v>
      </c>
      <c r="N18" s="2" t="n">
        <v>-4648.97</v>
      </c>
      <c r="O18" s="2" t="n">
        <v>2197.32</v>
      </c>
      <c r="R18" s="2" t="n">
        <v>-115</v>
      </c>
      <c r="AE18" s="10">
        <f>SUM(C18:AD18)</f>
        <v/>
      </c>
    </row>
    <row r="19">
      <c r="B19" t="inlineStr">
        <is>
          <t>Fringe 5990</t>
        </is>
      </c>
      <c r="F19" s="2" t="n">
        <v>1108.21</v>
      </c>
      <c r="J19" s="2" t="n">
        <v>10232.05</v>
      </c>
      <c r="N19" s="2" t="n">
        <v>-1995.35</v>
      </c>
      <c r="O19" s="2" t="n">
        <v>994.95</v>
      </c>
      <c r="R19" s="2" t="n">
        <v>-52.07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828000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13789.78</v>
      </c>
      <c r="AE24" s="10">
        <f>SUM(C24:AD24)</f>
        <v/>
      </c>
    </row>
    <row r="25">
      <c r="B25" t="inlineStr">
        <is>
          <t>Other Direct Costs 5009</t>
        </is>
      </c>
      <c r="J25" s="2" t="n">
        <v>1398.04</v>
      </c>
      <c r="N25" s="2" t="n">
        <v>314.32</v>
      </c>
      <c r="AE25" s="10">
        <f>SUM(C25:AD25)</f>
        <v/>
      </c>
    </row>
    <row r="26">
      <c r="B26" t="inlineStr">
        <is>
          <t>Material 5003</t>
        </is>
      </c>
      <c r="J26" s="2" t="n">
        <v>1253.14</v>
      </c>
      <c r="N26" s="2" t="n">
        <v>555.52</v>
      </c>
      <c r="O26" s="2" t="n">
        <v>720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894.3099999999999</v>
      </c>
      <c r="J29" s="2" t="n">
        <v>34192.36</v>
      </c>
      <c r="N29" s="2" t="n">
        <v>-7457.35</v>
      </c>
      <c r="O29" s="2" t="n">
        <v>5661.84</v>
      </c>
      <c r="R29" s="2" t="n">
        <v>-240.93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4111.12</v>
      </c>
      <c r="G32" s="2" t="n">
        <v>4111.12</v>
      </c>
      <c r="H32" s="2" t="n">
        <v>4111.12</v>
      </c>
      <c r="I32" s="2" t="n">
        <v>4111.12</v>
      </c>
      <c r="J32" s="2" t="n">
        <v>4111.12</v>
      </c>
      <c r="K32" s="2" t="n">
        <v>4111.12</v>
      </c>
      <c r="L32" s="2" t="n">
        <v>4111.12</v>
      </c>
      <c r="M32" s="2" t="n">
        <v>4111.12</v>
      </c>
      <c r="N32" s="2" t="n">
        <v>4111.12</v>
      </c>
      <c r="O32" s="2" t="n">
        <v>4111.12</v>
      </c>
      <c r="AE32" s="10">
        <f>SUM(C32:AD32)</f>
        <v/>
      </c>
    </row>
    <row r="33">
      <c r="B33" t="inlineStr">
        <is>
          <t>Fringe 5990</t>
        </is>
      </c>
      <c r="F33" s="2" t="n">
        <v>1709.41</v>
      </c>
      <c r="G33" s="2" t="n">
        <v>1709.41</v>
      </c>
      <c r="H33" s="2" t="n">
        <v>1709.41</v>
      </c>
      <c r="I33" s="2" t="n">
        <v>1709.41</v>
      </c>
      <c r="J33" s="2" t="n">
        <v>1709.41</v>
      </c>
      <c r="K33" s="2" t="n">
        <v>1709.41</v>
      </c>
      <c r="L33" s="2" t="n">
        <v>1709.41</v>
      </c>
      <c r="M33" s="2" t="n">
        <v>1709.41</v>
      </c>
      <c r="N33" s="2" t="n">
        <v>1709.41</v>
      </c>
      <c r="O33" s="2" t="n">
        <v>1709.41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82800</v>
      </c>
      <c r="G35" s="2" t="n">
        <v>82800</v>
      </c>
      <c r="H35" s="2" t="n">
        <v>82800</v>
      </c>
      <c r="I35" s="2" t="n">
        <v>82800</v>
      </c>
      <c r="J35" s="2" t="n">
        <v>82800</v>
      </c>
      <c r="K35" s="2" t="n">
        <v>82800</v>
      </c>
      <c r="L35" s="2" t="n">
        <v>82800</v>
      </c>
      <c r="M35" s="2" t="n">
        <v>82800</v>
      </c>
      <c r="N35" s="2" t="n">
        <v>82800</v>
      </c>
      <c r="O35" s="2" t="n">
        <v>82800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1379.47</v>
      </c>
      <c r="G43" s="2" t="n">
        <v>1379.47</v>
      </c>
      <c r="H43" s="2" t="n">
        <v>1379.47</v>
      </c>
      <c r="I43" s="2" t="n">
        <v>1379.47</v>
      </c>
      <c r="J43" s="2" t="n">
        <v>1379.47</v>
      </c>
      <c r="K43" s="2" t="n">
        <v>1379.47</v>
      </c>
      <c r="L43" s="2" t="n">
        <v>1379.47</v>
      </c>
      <c r="M43" s="2" t="n">
        <v>1379.47</v>
      </c>
      <c r="N43" s="2" t="n">
        <v>1379.47</v>
      </c>
      <c r="O43" s="2" t="n">
        <v>1379.47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900000</v>
      </c>
      <c r="AE45" s="10">
        <f>SUM(C45:AD45)</f>
        <v/>
      </c>
    </row>
    <row r="46">
      <c r="B46" t="inlineStr">
        <is>
          <t>Obligated</t>
        </is>
      </c>
      <c r="F46" s="2" t="n">
        <v>900000</v>
      </c>
      <c r="AE46" s="10">
        <f>SUM(C46:AD46)</f>
        <v/>
      </c>
    </row>
    <row r="47">
      <c r="B47" t="inlineStr">
        <is>
          <t>Expended</t>
        </is>
      </c>
      <c r="G47" s="2" t="n">
        <v>200000</v>
      </c>
      <c r="H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2ADP003</t>
        </is>
      </c>
    </row>
    <row r="4">
      <c r="A4" s="1" t="inlineStr">
        <is>
          <t>ROLLUP #</t>
        </is>
      </c>
      <c r="B4" t="inlineStr">
        <is>
          <t>1003</t>
        </is>
      </c>
    </row>
    <row r="5">
      <c r="A5" s="1" t="inlineStr">
        <is>
          <t>PROJECT NAME</t>
        </is>
      </c>
      <c r="B5" t="inlineStr">
        <is>
          <t>Development nd Assessment of Novel Advanced Hybrid Electronics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3115.28</v>
      </c>
      <c r="J18" s="2" t="n">
        <v>207856.67</v>
      </c>
      <c r="N18" s="2" t="n">
        <v>57213.39</v>
      </c>
      <c r="O18" s="2" t="n">
        <v>155.74</v>
      </c>
      <c r="R18" s="2" t="n">
        <v>-7701.82</v>
      </c>
      <c r="AE18" s="10">
        <f>SUM(C18:AD18)</f>
        <v/>
      </c>
    </row>
    <row r="19">
      <c r="B19" t="inlineStr">
        <is>
          <t>Fringe 5990</t>
        </is>
      </c>
      <c r="F19" s="2" t="n">
        <v>1295.33</v>
      </c>
      <c r="J19" s="2" t="n">
        <v>82041.03</v>
      </c>
      <c r="N19" s="2" t="n">
        <v>24555.97</v>
      </c>
      <c r="O19" s="2" t="n">
        <v>70.52</v>
      </c>
      <c r="R19" s="2" t="n">
        <v>-3487.38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2458399.18</v>
      </c>
      <c r="N21" s="2" t="n">
        <v>2143125.17</v>
      </c>
      <c r="O21" s="2" t="n">
        <v>246997.4</v>
      </c>
      <c r="P21" s="2" t="n">
        <v>-1078</v>
      </c>
      <c r="Q21" s="2" t="n">
        <v>7494</v>
      </c>
      <c r="S21" s="2" t="n">
        <v>143609</v>
      </c>
      <c r="U21" s="2" t="n">
        <v>10552.5</v>
      </c>
      <c r="V21" s="2" t="n">
        <v>36921.5</v>
      </c>
      <c r="W21" s="2" t="n">
        <v>13511</v>
      </c>
      <c r="AE21" s="10">
        <f>SUM(C21:AD21)</f>
        <v/>
      </c>
    </row>
    <row r="22">
      <c r="B22" t="inlineStr">
        <is>
          <t>Consulting 5002</t>
        </is>
      </c>
      <c r="J22" s="2" t="n">
        <v>8284.75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66279.69</v>
      </c>
      <c r="AE24" s="10">
        <f>SUM(C24:AD24)</f>
        <v/>
      </c>
    </row>
    <row r="25">
      <c r="B25" t="inlineStr">
        <is>
          <t>Other Direct Costs 5009</t>
        </is>
      </c>
      <c r="J25" s="2" t="n">
        <v>19262</v>
      </c>
      <c r="N25" s="2" t="n">
        <v>6104</v>
      </c>
      <c r="AE25" s="10">
        <f>SUM(C25:AD25)</f>
        <v/>
      </c>
    </row>
    <row r="26">
      <c r="B26" t="inlineStr">
        <is>
          <t>Material 5003</t>
        </is>
      </c>
      <c r="J26" s="2" t="n">
        <v>35393.38</v>
      </c>
      <c r="N26" s="2" t="n">
        <v>8069.46</v>
      </c>
      <c r="AE26" s="10">
        <f>SUM(C26:AD26)</f>
        <v/>
      </c>
    </row>
    <row r="27">
      <c r="B27" t="inlineStr">
        <is>
          <t>Sub K Overhead 5992</t>
        </is>
      </c>
      <c r="N27" s="2" t="n">
        <v>56149.86</v>
      </c>
      <c r="O27" s="2" t="n">
        <v>6990.03</v>
      </c>
      <c r="P27" s="2" t="n">
        <v>-30.5</v>
      </c>
      <c r="Q27" s="2" t="n">
        <v>212.08</v>
      </c>
      <c r="S27" s="2" t="n">
        <v>4064.13</v>
      </c>
      <c r="T27" s="2" t="n">
        <v>330.3</v>
      </c>
      <c r="U27" s="2" t="n">
        <v>322.91</v>
      </c>
      <c r="V27" s="2" t="n">
        <v>-4512.68</v>
      </c>
      <c r="W27" s="2" t="n">
        <v>395.87</v>
      </c>
      <c r="Y27" s="2" t="n">
        <v>-395.87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1161.83</v>
      </c>
      <c r="J29" s="2" t="n">
        <v>239683.43</v>
      </c>
      <c r="N29" s="2" t="n">
        <v>123900.59</v>
      </c>
      <c r="O29" s="2" t="n">
        <v>327.44</v>
      </c>
      <c r="R29" s="2" t="n">
        <v>-16193.12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17441.67</v>
      </c>
      <c r="G32" s="2" t="n">
        <v>17441.67</v>
      </c>
      <c r="H32" s="2" t="n">
        <v>17441.67</v>
      </c>
      <c r="I32" s="2" t="n">
        <v>17441.67</v>
      </c>
      <c r="J32" s="2" t="n">
        <v>17441.67</v>
      </c>
      <c r="K32" s="2" t="n">
        <v>17441.67</v>
      </c>
      <c r="L32" s="2" t="n">
        <v>17441.67</v>
      </c>
      <c r="M32" s="2" t="n">
        <v>17441.67</v>
      </c>
      <c r="N32" s="2" t="n">
        <v>17441.67</v>
      </c>
      <c r="O32" s="2" t="n">
        <v>17441.67</v>
      </c>
      <c r="P32" s="2" t="n">
        <v>17441.67</v>
      </c>
      <c r="Q32" s="2" t="n">
        <v>17441.67</v>
      </c>
      <c r="R32" s="2" t="n">
        <v>17441.67</v>
      </c>
      <c r="S32" s="2" t="n">
        <v>17441.67</v>
      </c>
      <c r="T32" s="2" t="n">
        <v>17441.67</v>
      </c>
      <c r="U32" s="2" t="n">
        <v>17441.67</v>
      </c>
      <c r="V32" s="2" t="n">
        <v>17441.67</v>
      </c>
      <c r="W32" s="2" t="n">
        <v>17441.67</v>
      </c>
      <c r="AE32" s="10">
        <f>SUM(C32:AD32)</f>
        <v/>
      </c>
    </row>
    <row r="33">
      <c r="B33" t="inlineStr">
        <is>
          <t>Fringe 5990</t>
        </is>
      </c>
      <c r="F33" s="2" t="n">
        <v>7252.25</v>
      </c>
      <c r="G33" s="2" t="n">
        <v>7252.25</v>
      </c>
      <c r="H33" s="2" t="n">
        <v>7252.25</v>
      </c>
      <c r="I33" s="2" t="n">
        <v>7252.25</v>
      </c>
      <c r="J33" s="2" t="n">
        <v>7252.25</v>
      </c>
      <c r="K33" s="2" t="n">
        <v>7252.25</v>
      </c>
      <c r="L33" s="2" t="n">
        <v>7252.25</v>
      </c>
      <c r="M33" s="2" t="n">
        <v>7252.25</v>
      </c>
      <c r="N33" s="2" t="n">
        <v>7252.25</v>
      </c>
      <c r="O33" s="2" t="n">
        <v>7252.25</v>
      </c>
      <c r="P33" s="2" t="n">
        <v>7252.25</v>
      </c>
      <c r="Q33" s="2" t="n">
        <v>7252.25</v>
      </c>
      <c r="R33" s="2" t="n">
        <v>7252.25</v>
      </c>
      <c r="S33" s="2" t="n">
        <v>7252.25</v>
      </c>
      <c r="T33" s="2" t="n">
        <v>7252.25</v>
      </c>
      <c r="U33" s="2" t="n">
        <v>7252.25</v>
      </c>
      <c r="V33" s="2" t="n">
        <v>7252.25</v>
      </c>
      <c r="W33" s="2" t="n">
        <v>7252.25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283398.06</v>
      </c>
      <c r="G35" s="2" t="n">
        <v>283398.06</v>
      </c>
      <c r="H35" s="2" t="n">
        <v>283398.06</v>
      </c>
      <c r="I35" s="2" t="n">
        <v>283398.06</v>
      </c>
      <c r="J35" s="2" t="n">
        <v>283398.06</v>
      </c>
      <c r="K35" s="2" t="n">
        <v>283398.06</v>
      </c>
      <c r="L35" s="2" t="n">
        <v>283398.06</v>
      </c>
      <c r="M35" s="2" t="n">
        <v>283398.06</v>
      </c>
      <c r="N35" s="2" t="n">
        <v>283398.06</v>
      </c>
      <c r="O35" s="2" t="n">
        <v>283398.06</v>
      </c>
      <c r="P35" s="2" t="n">
        <v>283398.06</v>
      </c>
      <c r="Q35" s="2" t="n">
        <v>283398.06</v>
      </c>
      <c r="R35" s="2" t="n">
        <v>283398.06</v>
      </c>
      <c r="S35" s="2" t="n">
        <v>283398.06</v>
      </c>
      <c r="T35" s="2" t="n">
        <v>283398.06</v>
      </c>
      <c r="U35" s="2" t="n">
        <v>283398.06</v>
      </c>
      <c r="V35" s="2" t="n">
        <v>283398.06</v>
      </c>
      <c r="W35" s="2" t="n">
        <v>283398.06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5852.46</v>
      </c>
      <c r="G43" s="2" t="n">
        <v>5852.46</v>
      </c>
      <c r="H43" s="2" t="n">
        <v>5852.46</v>
      </c>
      <c r="I43" s="2" t="n">
        <v>5852.46</v>
      </c>
      <c r="J43" s="2" t="n">
        <v>5852.46</v>
      </c>
      <c r="K43" s="2" t="n">
        <v>5852.46</v>
      </c>
      <c r="L43" s="2" t="n">
        <v>5852.46</v>
      </c>
      <c r="M43" s="2" t="n">
        <v>5852.46</v>
      </c>
      <c r="N43" s="2" t="n">
        <v>5852.46</v>
      </c>
      <c r="O43" s="2" t="n">
        <v>5852.46</v>
      </c>
      <c r="P43" s="2" t="n">
        <v>5852.46</v>
      </c>
      <c r="Q43" s="2" t="n">
        <v>5852.46</v>
      </c>
      <c r="R43" s="2" t="n">
        <v>5852.46</v>
      </c>
      <c r="S43" s="2" t="n">
        <v>5852.46</v>
      </c>
      <c r="T43" s="2" t="n">
        <v>5852.46</v>
      </c>
      <c r="U43" s="2" t="n">
        <v>5852.46</v>
      </c>
      <c r="V43" s="2" t="n">
        <v>5852.46</v>
      </c>
      <c r="W43" s="2" t="n">
        <v>5852.46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5651000</v>
      </c>
      <c r="AE45" s="10">
        <f>SUM(C45:AD45)</f>
        <v/>
      </c>
    </row>
    <row r="46">
      <c r="B46" t="inlineStr">
        <is>
          <t>Obligated</t>
        </is>
      </c>
      <c r="F46" s="2" t="n">
        <v>5651000</v>
      </c>
      <c r="AE46" s="10">
        <f>SUM(C46:AD46)</f>
        <v/>
      </c>
    </row>
    <row r="47">
      <c r="B47" t="inlineStr">
        <is>
          <t>Expended</t>
        </is>
      </c>
      <c r="G47" s="2" t="n">
        <v>900000</v>
      </c>
      <c r="H47" s="2" t="n">
        <v>1900000</v>
      </c>
      <c r="J47" s="2" t="n">
        <v>1500000</v>
      </c>
      <c r="K47" s="2" t="n">
        <v>1351000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2ADP004</t>
        </is>
      </c>
    </row>
    <row r="4">
      <c r="A4" s="1" t="inlineStr">
        <is>
          <t>ROLLUP #</t>
        </is>
      </c>
      <c r="B4" t="inlineStr">
        <is>
          <t>1004</t>
        </is>
      </c>
    </row>
    <row r="5">
      <c r="A5" s="1" t="inlineStr">
        <is>
          <t>PROJECT NAME</t>
        </is>
      </c>
      <c r="B5" t="inlineStr">
        <is>
          <t>OUSDRE Man Tech Flexible Xray Imager Digital Detector Arrays DDA Phase II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2347.04</v>
      </c>
      <c r="N18" s="2" t="n">
        <v>14759.68</v>
      </c>
      <c r="O18" s="2" t="n">
        <v>2131.79</v>
      </c>
      <c r="R18" s="2" t="n">
        <v>115</v>
      </c>
      <c r="AE18" s="10">
        <f>SUM(C18:AD18)</f>
        <v/>
      </c>
    </row>
    <row r="19">
      <c r="B19" t="inlineStr">
        <is>
          <t>Fringe 5990</t>
        </is>
      </c>
      <c r="J19" s="2" t="n">
        <v>926.38</v>
      </c>
      <c r="N19" s="2" t="n">
        <v>6334.86</v>
      </c>
      <c r="O19" s="2" t="n">
        <v>965.27</v>
      </c>
      <c r="R19" s="2" t="n">
        <v>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247149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752306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14850</v>
      </c>
      <c r="Q25" s="2" t="n">
        <v>-100</v>
      </c>
      <c r="AE25" s="10">
        <f>SUM(C25:AD25)</f>
        <v/>
      </c>
    </row>
    <row r="26">
      <c r="B26" t="inlineStr">
        <is>
          <t>Material 5003</t>
        </is>
      </c>
      <c r="N26" s="2" t="n">
        <v>2355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1769.61</v>
      </c>
      <c r="N29" s="2" t="n">
        <v>49460.02</v>
      </c>
      <c r="O29" s="2" t="n">
        <v>4482.07</v>
      </c>
      <c r="Q29" s="2" t="n">
        <v>-144.72</v>
      </c>
      <c r="R29" s="2" t="n">
        <v>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3599.53</v>
      </c>
      <c r="H32" s="2" t="n">
        <v>3599.53</v>
      </c>
      <c r="I32" s="2" t="n">
        <v>3599.53</v>
      </c>
      <c r="J32" s="2" t="n">
        <v>3599.53</v>
      </c>
      <c r="K32" s="2" t="n">
        <v>3599.53</v>
      </c>
      <c r="L32" s="2" t="n">
        <v>3599.53</v>
      </c>
      <c r="M32" s="2" t="n">
        <v>3599.53</v>
      </c>
      <c r="N32" s="2" t="n">
        <v>3599.53</v>
      </c>
      <c r="O32" s="2" t="n">
        <v>3599.53</v>
      </c>
      <c r="P32" s="2" t="n">
        <v>3599.53</v>
      </c>
      <c r="Q32" s="2" t="n">
        <v>3599.53</v>
      </c>
      <c r="R32" s="2" t="n">
        <v>3599.53</v>
      </c>
      <c r="S32" s="2" t="n">
        <v>3599.53</v>
      </c>
      <c r="AE32" s="10">
        <f>SUM(C32:AD32)</f>
        <v/>
      </c>
    </row>
    <row r="33">
      <c r="B33" t="inlineStr">
        <is>
          <t>Fringe 5990</t>
        </is>
      </c>
      <c r="G33" s="2" t="n">
        <v>1420.74</v>
      </c>
      <c r="H33" s="2" t="n">
        <v>1420.74</v>
      </c>
      <c r="I33" s="2" t="n">
        <v>1420.74</v>
      </c>
      <c r="J33" s="2" t="n">
        <v>1420.74</v>
      </c>
      <c r="K33" s="2" t="n">
        <v>1420.74</v>
      </c>
      <c r="L33" s="2" t="n">
        <v>1420.74</v>
      </c>
      <c r="M33" s="2" t="n">
        <v>1420.74</v>
      </c>
      <c r="N33" s="2" t="n">
        <v>1420.74</v>
      </c>
      <c r="O33" s="2" t="n">
        <v>1420.74</v>
      </c>
      <c r="P33" s="2" t="n">
        <v>1420.74</v>
      </c>
      <c r="Q33" s="2" t="n">
        <v>1420.74</v>
      </c>
      <c r="R33" s="2" t="n">
        <v>1420.74</v>
      </c>
      <c r="S33" s="2" t="n">
        <v>1420.74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76881.14999999999</v>
      </c>
      <c r="H35" s="2" t="n">
        <v>76881.14999999999</v>
      </c>
      <c r="I35" s="2" t="n">
        <v>76881.14999999999</v>
      </c>
      <c r="J35" s="2" t="n">
        <v>76881.14999999999</v>
      </c>
      <c r="K35" s="2" t="n">
        <v>76881.14999999999</v>
      </c>
      <c r="L35" s="2" t="n">
        <v>76881.14999999999</v>
      </c>
      <c r="M35" s="2" t="n">
        <v>76881.14999999999</v>
      </c>
      <c r="N35" s="2" t="n">
        <v>76881.14999999999</v>
      </c>
      <c r="O35" s="2" t="n">
        <v>76881.14999999999</v>
      </c>
      <c r="P35" s="2" t="n">
        <v>76881.14999999999</v>
      </c>
      <c r="Q35" s="2" t="n">
        <v>76881.14999999999</v>
      </c>
      <c r="R35" s="2" t="n">
        <v>76881.14999999999</v>
      </c>
      <c r="S35" s="2" t="n">
        <v>76881.14999999999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2713.96</v>
      </c>
      <c r="H43" s="2" t="n">
        <v>2713.96</v>
      </c>
      <c r="I43" s="2" t="n">
        <v>2713.96</v>
      </c>
      <c r="J43" s="2" t="n">
        <v>2713.96</v>
      </c>
      <c r="K43" s="2" t="n">
        <v>2713.96</v>
      </c>
      <c r="L43" s="2" t="n">
        <v>2713.96</v>
      </c>
      <c r="M43" s="2" t="n">
        <v>2713.96</v>
      </c>
      <c r="N43" s="2" t="n">
        <v>2713.96</v>
      </c>
      <c r="O43" s="2" t="n">
        <v>2713.96</v>
      </c>
      <c r="P43" s="2" t="n">
        <v>2713.96</v>
      </c>
      <c r="Q43" s="2" t="n">
        <v>2713.96</v>
      </c>
      <c r="R43" s="2" t="n">
        <v>2713.96</v>
      </c>
      <c r="S43" s="2" t="n">
        <v>2713.96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1100000</v>
      </c>
      <c r="AE45" s="10">
        <f>SUM(C45:AD45)</f>
        <v/>
      </c>
    </row>
    <row r="46">
      <c r="B46" t="inlineStr">
        <is>
          <t>Obligated</t>
        </is>
      </c>
      <c r="G46" s="2" t="n">
        <v>1100000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J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2ADP005</t>
        </is>
      </c>
    </row>
    <row r="4">
      <c r="A4" s="1" t="inlineStr">
        <is>
          <t>ROLLUP #</t>
        </is>
      </c>
      <c r="B4" t="inlineStr">
        <is>
          <t>713056</t>
        </is>
      </c>
    </row>
    <row r="5">
      <c r="A5" s="1" t="inlineStr">
        <is>
          <t>PROJECT NAME</t>
        </is>
      </c>
      <c r="B5" t="inlineStr">
        <is>
          <t>Viral Deactivation Surface Treatments to Reduce Covid 19 Spread in Healthcare Settings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4822.57</v>
      </c>
      <c r="J18" s="2" t="n">
        <v>17823.38</v>
      </c>
      <c r="N18" s="2" t="n">
        <v>2584.07</v>
      </c>
      <c r="AE18" s="10">
        <f>SUM(C18:AD18)</f>
        <v/>
      </c>
    </row>
    <row r="19">
      <c r="B19" t="inlineStr">
        <is>
          <t>Fringe 5990</t>
        </is>
      </c>
      <c r="F19" s="2" t="n">
        <v>2005.22</v>
      </c>
      <c r="J19" s="2" t="n">
        <v>7034.89</v>
      </c>
      <c r="N19" s="2" t="n">
        <v>1109.09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930758.27</v>
      </c>
      <c r="N21" s="2" t="n">
        <v>8229.73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1460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215.62</v>
      </c>
      <c r="V27" s="2" t="n">
        <v>3341.98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1618.19</v>
      </c>
      <c r="J29" s="2" t="n">
        <v>14227.66</v>
      </c>
      <c r="N29" s="2" t="n">
        <v>4769.34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3483.67</v>
      </c>
      <c r="G32" s="2" t="n">
        <v>3483.67</v>
      </c>
      <c r="H32" s="2" t="n">
        <v>3483.67</v>
      </c>
      <c r="I32" s="2" t="n">
        <v>3483.67</v>
      </c>
      <c r="J32" s="2" t="n">
        <v>3483.67</v>
      </c>
      <c r="K32" s="2" t="n">
        <v>3483.67</v>
      </c>
      <c r="L32" s="2" t="n">
        <v>3483.67</v>
      </c>
      <c r="M32" s="2" t="n">
        <v>3483.67</v>
      </c>
      <c r="N32" s="2" t="n">
        <v>3483.67</v>
      </c>
      <c r="O32" s="2" t="n">
        <v>3483.67</v>
      </c>
      <c r="AE32" s="10">
        <f>SUM(C32:AD32)</f>
        <v/>
      </c>
    </row>
    <row r="33">
      <c r="B33" t="inlineStr">
        <is>
          <t>Fringe 5990</t>
        </is>
      </c>
      <c r="F33" s="2" t="n">
        <v>1448.51</v>
      </c>
      <c r="G33" s="2" t="n">
        <v>1448.51</v>
      </c>
      <c r="H33" s="2" t="n">
        <v>1448.51</v>
      </c>
      <c r="I33" s="2" t="n">
        <v>1448.51</v>
      </c>
      <c r="J33" s="2" t="n">
        <v>1448.51</v>
      </c>
      <c r="K33" s="2" t="n">
        <v>1448.51</v>
      </c>
      <c r="L33" s="2" t="n">
        <v>1448.51</v>
      </c>
      <c r="M33" s="2" t="n">
        <v>1448.51</v>
      </c>
      <c r="N33" s="2" t="n">
        <v>1448.51</v>
      </c>
      <c r="O33" s="2" t="n">
        <v>1448.51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93898.89999999999</v>
      </c>
      <c r="G35" s="2" t="n">
        <v>93898.89999999999</v>
      </c>
      <c r="H35" s="2" t="n">
        <v>93898.89999999999</v>
      </c>
      <c r="I35" s="2" t="n">
        <v>93898.89999999999</v>
      </c>
      <c r="J35" s="2" t="n">
        <v>93898.89999999999</v>
      </c>
      <c r="K35" s="2" t="n">
        <v>93898.89999999999</v>
      </c>
      <c r="L35" s="2" t="n">
        <v>93898.89999999999</v>
      </c>
      <c r="M35" s="2" t="n">
        <v>93898.89999999999</v>
      </c>
      <c r="N35" s="2" t="n">
        <v>93898.89999999999</v>
      </c>
      <c r="O35" s="2" t="n">
        <v>93898.89999999999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1168.93</v>
      </c>
      <c r="G43" s="2" t="n">
        <v>1168.93</v>
      </c>
      <c r="H43" s="2" t="n">
        <v>1168.93</v>
      </c>
      <c r="I43" s="2" t="n">
        <v>1168.93</v>
      </c>
      <c r="J43" s="2" t="n">
        <v>1168.93</v>
      </c>
      <c r="K43" s="2" t="n">
        <v>1168.93</v>
      </c>
      <c r="L43" s="2" t="n">
        <v>1168.93</v>
      </c>
      <c r="M43" s="2" t="n">
        <v>1168.93</v>
      </c>
      <c r="N43" s="2" t="n">
        <v>1168.93</v>
      </c>
      <c r="O43" s="2" t="n">
        <v>1168.93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1000000</v>
      </c>
      <c r="AE45" s="10">
        <f>SUM(C45:AD45)</f>
        <v/>
      </c>
    </row>
    <row r="46">
      <c r="B46" t="inlineStr">
        <is>
          <t>Obligated</t>
        </is>
      </c>
      <c r="F46" s="2" t="n">
        <v>1000000</v>
      </c>
      <c r="AE46" s="10">
        <f>SUM(C46:AD46)</f>
        <v/>
      </c>
    </row>
    <row r="47">
      <c r="B47" t="inlineStr">
        <is>
          <t>Expended</t>
        </is>
      </c>
      <c r="G47" s="2" t="n">
        <v>750000</v>
      </c>
      <c r="H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2ADP006</t>
        </is>
      </c>
    </row>
    <row r="4">
      <c r="A4" s="1" t="inlineStr">
        <is>
          <t>ROLLUP #</t>
        </is>
      </c>
      <c r="B4" t="inlineStr">
        <is>
          <t>1006</t>
        </is>
      </c>
    </row>
    <row r="5">
      <c r="A5" s="1" t="inlineStr">
        <is>
          <t>PROJECT NAME</t>
        </is>
      </c>
      <c r="B5" t="inlineStr">
        <is>
          <t>Follow on Development nd Assessment of Novel Advanced HyBrid Elecetroncs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77.5</v>
      </c>
      <c r="N18" s="2" t="n">
        <v>44032.72</v>
      </c>
      <c r="R18" s="2" t="n">
        <v>7701.82</v>
      </c>
      <c r="AE18" s="10">
        <f>SUM(C18:AD18)</f>
        <v/>
      </c>
    </row>
    <row r="19">
      <c r="B19" t="inlineStr">
        <is>
          <t>Fringe 5990</t>
        </is>
      </c>
      <c r="J19" s="2" t="n">
        <v>30.59</v>
      </c>
      <c r="N19" s="2" t="n">
        <v>18898.85</v>
      </c>
      <c r="R19" s="2" t="n">
        <v>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168291.82</v>
      </c>
      <c r="O21" s="2" t="n">
        <v>226555.29</v>
      </c>
      <c r="P21" s="2" t="n">
        <v>103421.35</v>
      </c>
      <c r="Q21" s="2" t="n">
        <v>714.59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P23" s="2" t="n">
        <v>218514</v>
      </c>
      <c r="Q23" s="2" t="n">
        <v>20232</v>
      </c>
      <c r="R23" s="2" t="n">
        <v>665</v>
      </c>
      <c r="AE23" s="10">
        <f>SUM(C23:AD23)</f>
        <v/>
      </c>
    </row>
    <row r="24">
      <c r="B24" t="inlineStr">
        <is>
          <t>Equipment 5008</t>
        </is>
      </c>
      <c r="N24" s="2" t="n">
        <v>666036.5600000001</v>
      </c>
      <c r="AE24" s="10">
        <f>SUM(C24:AD24)</f>
        <v/>
      </c>
    </row>
    <row r="25">
      <c r="B25" t="inlineStr">
        <is>
          <t>Other Direct Costs 5009</t>
        </is>
      </c>
      <c r="N25" s="2" t="n">
        <v>86413.39</v>
      </c>
      <c r="O25" s="2" t="n">
        <v>-197.94</v>
      </c>
      <c r="AE25" s="10">
        <f>SUM(C25:AD25)</f>
        <v/>
      </c>
    </row>
    <row r="26">
      <c r="B26" t="inlineStr">
        <is>
          <t>Material 5003</t>
        </is>
      </c>
      <c r="N26" s="2" t="n">
        <v>7310.84</v>
      </c>
      <c r="O26" s="2" t="n">
        <v>121</v>
      </c>
      <c r="AE26" s="10">
        <f>SUM(C26:AD26)</f>
        <v/>
      </c>
    </row>
    <row r="27">
      <c r="B27" t="inlineStr">
        <is>
          <t>Sub K Overhead 5992</t>
        </is>
      </c>
      <c r="N27" s="2" t="n">
        <v>4409.25</v>
      </c>
      <c r="O27" s="2" t="n">
        <v>6411.51</v>
      </c>
      <c r="P27" s="2" t="n">
        <v>2926.83</v>
      </c>
      <c r="Q27" s="2" t="n">
        <v>20.22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58.43</v>
      </c>
      <c r="N29" s="2" t="n">
        <v>246785.22</v>
      </c>
      <c r="O29" s="2" t="n">
        <v>-111.35</v>
      </c>
      <c r="R29" s="2" t="n">
        <v>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52427.25</v>
      </c>
      <c r="G32" s="2" t="n">
        <v>52427.25</v>
      </c>
      <c r="H32" s="2" t="n">
        <v>52427.25</v>
      </c>
      <c r="I32" s="2" t="n">
        <v>52427.25</v>
      </c>
      <c r="J32" s="2" t="n">
        <v>52427.25</v>
      </c>
      <c r="K32" s="2" t="n">
        <v>52427.25</v>
      </c>
      <c r="L32" s="2" t="n">
        <v>52427.25</v>
      </c>
      <c r="M32" s="2" t="n">
        <v>52427.25</v>
      </c>
      <c r="N32" s="2" t="n">
        <v>52427.25</v>
      </c>
      <c r="O32" s="2" t="n">
        <v>52427.25</v>
      </c>
      <c r="P32" s="2" t="n">
        <v>52427.25</v>
      </c>
      <c r="AE32" s="10">
        <f>SUM(C32:AD32)</f>
        <v/>
      </c>
    </row>
    <row r="33">
      <c r="B33" t="inlineStr">
        <is>
          <t>Fringe 5990</t>
        </is>
      </c>
      <c r="F33" s="2" t="n">
        <v>21799.25</v>
      </c>
      <c r="G33" s="2" t="n">
        <v>21799.25</v>
      </c>
      <c r="H33" s="2" t="n">
        <v>21799.25</v>
      </c>
      <c r="I33" s="2" t="n">
        <v>21799.25</v>
      </c>
      <c r="J33" s="2" t="n">
        <v>21799.25</v>
      </c>
      <c r="K33" s="2" t="n">
        <v>21799.25</v>
      </c>
      <c r="L33" s="2" t="n">
        <v>21799.25</v>
      </c>
      <c r="M33" s="2" t="n">
        <v>21799.25</v>
      </c>
      <c r="N33" s="2" t="n">
        <v>21799.25</v>
      </c>
      <c r="O33" s="2" t="n">
        <v>21799.25</v>
      </c>
      <c r="P33" s="2" t="n">
        <v>21799.25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76272.73</v>
      </c>
      <c r="G35" s="2" t="n">
        <v>76272.73</v>
      </c>
      <c r="H35" s="2" t="n">
        <v>76272.73</v>
      </c>
      <c r="I35" s="2" t="n">
        <v>76272.73</v>
      </c>
      <c r="J35" s="2" t="n">
        <v>76272.73</v>
      </c>
      <c r="K35" s="2" t="n">
        <v>76272.73</v>
      </c>
      <c r="L35" s="2" t="n">
        <v>76272.73</v>
      </c>
      <c r="M35" s="2" t="n">
        <v>76272.73</v>
      </c>
      <c r="N35" s="2" t="n">
        <v>76272.73</v>
      </c>
      <c r="O35" s="2" t="n">
        <v>76272.73</v>
      </c>
      <c r="P35" s="2" t="n">
        <v>76272.73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17591.68</v>
      </c>
      <c r="G43" s="2" t="n">
        <v>17591.68</v>
      </c>
      <c r="H43" s="2" t="n">
        <v>17591.68</v>
      </c>
      <c r="I43" s="2" t="n">
        <v>17591.68</v>
      </c>
      <c r="J43" s="2" t="n">
        <v>17591.68</v>
      </c>
      <c r="K43" s="2" t="n">
        <v>17591.68</v>
      </c>
      <c r="L43" s="2" t="n">
        <v>17591.68</v>
      </c>
      <c r="M43" s="2" t="n">
        <v>17591.68</v>
      </c>
      <c r="N43" s="2" t="n">
        <v>17591.68</v>
      </c>
      <c r="O43" s="2" t="n">
        <v>17591.68</v>
      </c>
      <c r="P43" s="2" t="n">
        <v>17591.68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1849000</v>
      </c>
      <c r="AE45" s="10">
        <f>SUM(C45:AD45)</f>
        <v/>
      </c>
    </row>
    <row r="46">
      <c r="B46" t="inlineStr">
        <is>
          <t>Obligated</t>
        </is>
      </c>
      <c r="F46" s="2" t="n">
        <v>1849000</v>
      </c>
      <c r="AE46" s="10">
        <f>SUM(C46:AD46)</f>
        <v/>
      </c>
    </row>
    <row r="47">
      <c r="B47" t="inlineStr">
        <is>
          <t>Expended</t>
        </is>
      </c>
      <c r="H47" s="2" t="n">
        <v>481000</v>
      </c>
      <c r="L47" s="2" t="n">
        <v>200000</v>
      </c>
      <c r="M47" s="2" t="n">
        <v>250000</v>
      </c>
      <c r="N47" s="2" t="n">
        <v>918000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2ADP007</t>
        </is>
      </c>
    </row>
    <row r="4">
      <c r="A4" s="1" t="inlineStr">
        <is>
          <t>ROLLUP #</t>
        </is>
      </c>
      <c r="B4" t="inlineStr">
        <is>
          <t>713064</t>
        </is>
      </c>
    </row>
    <row r="5">
      <c r="A5" s="1" t="inlineStr">
        <is>
          <t>PROJECT NAME</t>
        </is>
      </c>
      <c r="B5" t="inlineStr">
        <is>
          <t>Federal Information Processing Standard FIPS 140 2 Certification for Wearable Chemical Sensors WCS for Confined Space Monitoring CSM developed under Adp 35 from previous Agreement FA8650 15 2 5401</t>
        </is>
      </c>
    </row>
    <row r="6">
      <c r="A6" s="1" t="inlineStr">
        <is>
          <t>TECHNICAL POINT OF CONTACT</t>
        </is>
      </c>
      <c r="B6" t="inlineStr">
        <is>
          <t>Matt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4850.84</v>
      </c>
      <c r="N18" s="2" t="n">
        <v>8100.42</v>
      </c>
      <c r="AE18" s="10">
        <f>SUM(C18:AD18)</f>
        <v/>
      </c>
    </row>
    <row r="19">
      <c r="B19" t="inlineStr">
        <is>
          <t>Fringe 5990</t>
        </is>
      </c>
      <c r="J19" s="2" t="n">
        <v>1914.63</v>
      </c>
      <c r="N19" s="2" t="n">
        <v>3476.7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68925</v>
      </c>
      <c r="AE21" s="10">
        <f>SUM(C21:AD21)</f>
        <v/>
      </c>
    </row>
    <row r="22">
      <c r="B22" t="inlineStr">
        <is>
          <t>Consulting 5002</t>
        </is>
      </c>
      <c r="J22" s="2" t="n">
        <v>25100</v>
      </c>
      <c r="N22" s="2" t="n">
        <v>89475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9271.129999999999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17226.47</v>
      </c>
      <c r="N29" s="2" t="n">
        <v>142471.45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261.79</v>
      </c>
      <c r="G32" s="2" t="n">
        <v>261.79</v>
      </c>
      <c r="H32" s="2" t="n">
        <v>261.79</v>
      </c>
      <c r="I32" s="2" t="n">
        <v>261.79</v>
      </c>
      <c r="J32" s="2" t="n">
        <v>261.79</v>
      </c>
      <c r="K32" s="2" t="n">
        <v>261.79</v>
      </c>
      <c r="L32" s="2" t="n">
        <v>261.79</v>
      </c>
      <c r="M32" s="2" t="n">
        <v>261.79</v>
      </c>
      <c r="AE32" s="10">
        <f>SUM(C32:AD32)</f>
        <v/>
      </c>
    </row>
    <row r="33">
      <c r="B33" t="inlineStr">
        <is>
          <t>Fringe 5990</t>
        </is>
      </c>
      <c r="F33" s="2" t="n">
        <v>103.33</v>
      </c>
      <c r="G33" s="2" t="n">
        <v>103.33</v>
      </c>
      <c r="H33" s="2" t="n">
        <v>103.33</v>
      </c>
      <c r="I33" s="2" t="n">
        <v>103.33</v>
      </c>
      <c r="J33" s="2" t="n">
        <v>103.33</v>
      </c>
      <c r="K33" s="2" t="n">
        <v>103.33</v>
      </c>
      <c r="L33" s="2" t="n">
        <v>103.33</v>
      </c>
      <c r="M33" s="2" t="n">
        <v>103.33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21937.5</v>
      </c>
      <c r="G35" s="2" t="n">
        <v>21937.5</v>
      </c>
      <c r="H35" s="2" t="n">
        <v>21937.5</v>
      </c>
      <c r="I35" s="2" t="n">
        <v>21937.5</v>
      </c>
      <c r="J35" s="2" t="n">
        <v>21937.5</v>
      </c>
      <c r="K35" s="2" t="n">
        <v>21937.5</v>
      </c>
      <c r="L35" s="2" t="n">
        <v>21937.5</v>
      </c>
      <c r="M35" s="2" t="n">
        <v>21937.5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197.38</v>
      </c>
      <c r="G43" s="2" t="n">
        <v>197.38</v>
      </c>
      <c r="H43" s="2" t="n">
        <v>197.38</v>
      </c>
      <c r="I43" s="2" t="n">
        <v>197.38</v>
      </c>
      <c r="J43" s="2" t="n">
        <v>197.38</v>
      </c>
      <c r="K43" s="2" t="n">
        <v>197.38</v>
      </c>
      <c r="L43" s="2" t="n">
        <v>197.38</v>
      </c>
      <c r="M43" s="2" t="n">
        <v>197.38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180000</v>
      </c>
      <c r="AE45" s="10">
        <f>SUM(C45:AD45)</f>
        <v/>
      </c>
    </row>
    <row r="46">
      <c r="B46" t="inlineStr">
        <is>
          <t>Obligated</t>
        </is>
      </c>
      <c r="F46" s="2" t="n">
        <v>180000</v>
      </c>
      <c r="AE46" s="10">
        <f>SUM(C46:AD46)</f>
        <v/>
      </c>
    </row>
    <row r="47">
      <c r="B47" t="inlineStr">
        <is>
          <t>Expended</t>
        </is>
      </c>
      <c r="H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2ADP008</t>
        </is>
      </c>
    </row>
    <row r="4">
      <c r="A4" s="1" t="inlineStr">
        <is>
          <t>ROLLUP #</t>
        </is>
      </c>
      <c r="B4" t="inlineStr">
        <is>
          <t>1008</t>
        </is>
      </c>
    </row>
    <row r="5">
      <c r="A5" s="1" t="inlineStr">
        <is>
          <t>PROJECT NAME</t>
        </is>
      </c>
      <c r="B5" t="inlineStr">
        <is>
          <t>Civil Military Collaboration Initiative Phase II Continutation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ADP-EWD, 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614.15</v>
      </c>
      <c r="J18" s="2" t="n">
        <v>10007.53</v>
      </c>
      <c r="N18" s="2" t="n">
        <v>4886.11</v>
      </c>
      <c r="AE18" s="10">
        <f>SUM(C18:AD18)</f>
        <v/>
      </c>
    </row>
    <row r="19">
      <c r="B19" t="inlineStr">
        <is>
          <t>Fringe 5990</t>
        </is>
      </c>
      <c r="F19" s="2" t="n">
        <v>255.36</v>
      </c>
      <c r="J19" s="2" t="n">
        <v>3949.97</v>
      </c>
      <c r="N19" s="2" t="n">
        <v>2097.12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490666.66</v>
      </c>
      <c r="J21" s="2" t="n">
        <v>245333.34</v>
      </c>
      <c r="AE21" s="10">
        <f>SUM(C21:AD21)</f>
        <v/>
      </c>
    </row>
    <row r="22">
      <c r="B22" t="inlineStr">
        <is>
          <t>Consulting 5002</t>
        </is>
      </c>
      <c r="J22" s="2" t="n">
        <v>16500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206.07</v>
      </c>
      <c r="J29" s="2" t="n">
        <v>16465.33</v>
      </c>
      <c r="N29" s="2" t="n">
        <v>9018.35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7308.67</v>
      </c>
      <c r="G32" s="2" t="n">
        <v>7308.67</v>
      </c>
      <c r="H32" s="2" t="n">
        <v>7308.67</v>
      </c>
      <c r="I32" s="2" t="n">
        <v>7308.67</v>
      </c>
      <c r="J32" s="2" t="n">
        <v>7308.67</v>
      </c>
      <c r="AE32" s="10">
        <f>SUM(C32:AD32)</f>
        <v/>
      </c>
    </row>
    <row r="33">
      <c r="B33" t="inlineStr">
        <is>
          <t>Fringe 5990</t>
        </is>
      </c>
      <c r="F33" s="2" t="n">
        <v>3038.94</v>
      </c>
      <c r="G33" s="2" t="n">
        <v>3038.94</v>
      </c>
      <c r="H33" s="2" t="n">
        <v>3038.94</v>
      </c>
      <c r="I33" s="2" t="n">
        <v>3038.94</v>
      </c>
      <c r="J33" s="2" t="n">
        <v>3038.94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147200</v>
      </c>
      <c r="G35" s="2" t="n">
        <v>147200</v>
      </c>
      <c r="H35" s="2" t="n">
        <v>147200</v>
      </c>
      <c r="I35" s="2" t="n">
        <v>147200</v>
      </c>
      <c r="J35" s="2" t="n">
        <v>147200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2452.38</v>
      </c>
      <c r="G43" s="2" t="n">
        <v>2452.38</v>
      </c>
      <c r="H43" s="2" t="n">
        <v>2452.38</v>
      </c>
      <c r="I43" s="2" t="n">
        <v>2452.38</v>
      </c>
      <c r="J43" s="2" t="n">
        <v>2452.38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800000</v>
      </c>
      <c r="AE45" s="10">
        <f>SUM(C45:AD45)</f>
        <v/>
      </c>
    </row>
    <row r="46">
      <c r="B46" t="inlineStr">
        <is>
          <t>Obligated</t>
        </is>
      </c>
      <c r="F46" s="2" t="n">
        <v>800000</v>
      </c>
      <c r="AE46" s="10">
        <f>SUM(C46:AD46)</f>
        <v/>
      </c>
    </row>
    <row r="47">
      <c r="B47" t="inlineStr">
        <is>
          <t>Expended</t>
        </is>
      </c>
      <c r="H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2ADP009</t>
        </is>
      </c>
    </row>
    <row r="4">
      <c r="A4" s="1" t="inlineStr">
        <is>
          <t>ROLLUP #</t>
        </is>
      </c>
      <c r="B4" t="inlineStr">
        <is>
          <t>1009</t>
        </is>
      </c>
    </row>
    <row r="5">
      <c r="A5" s="1" t="inlineStr">
        <is>
          <t>PROJECT NAME</t>
        </is>
      </c>
      <c r="B5" t="inlineStr">
        <is>
          <t>NextFlex CII FHE Ecosystem Enhancement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ADP-Tech Subk,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8391.5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2801.29</v>
      </c>
      <c r="J18" s="2" t="n">
        <v>239882</v>
      </c>
      <c r="N18" s="2" t="n">
        <v>303547.68</v>
      </c>
      <c r="O18" s="2" t="n">
        <v>29978.13</v>
      </c>
      <c r="P18" s="2" t="n">
        <v>8636.450000000001</v>
      </c>
      <c r="Q18" s="2" t="n">
        <v>1320.83</v>
      </c>
      <c r="R18" s="2" t="n">
        <v>764.76</v>
      </c>
      <c r="S18" s="2" t="n">
        <v>1947.08</v>
      </c>
      <c r="T18" s="2" t="n">
        <v>1939.87</v>
      </c>
      <c r="V18" s="2" t="n">
        <v>46163.51</v>
      </c>
      <c r="AE18" s="10">
        <f>SUM(C18:AD18)</f>
        <v/>
      </c>
    </row>
    <row r="19">
      <c r="B19" t="inlineStr">
        <is>
          <t>Fringe 5990</t>
        </is>
      </c>
      <c r="F19" s="2" t="n">
        <v>1164.78</v>
      </c>
      <c r="J19" s="2" t="n">
        <v>94681.42</v>
      </c>
      <c r="N19" s="2" t="n">
        <v>130282.67</v>
      </c>
      <c r="O19" s="2" t="n">
        <v>13574.11</v>
      </c>
      <c r="P19" s="2" t="n">
        <v>3910.59</v>
      </c>
      <c r="Q19" s="2" t="n">
        <v>598.0599999999999</v>
      </c>
      <c r="R19" s="2" t="n">
        <v>346.28</v>
      </c>
      <c r="S19" s="2" t="n">
        <v>881.64</v>
      </c>
      <c r="T19" s="2" t="n">
        <v>987.98</v>
      </c>
      <c r="V19" s="2" t="n">
        <v>22204.65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221178.81</v>
      </c>
      <c r="N21" s="2" t="n">
        <v>2705228.46</v>
      </c>
      <c r="O21" s="2" t="n">
        <v>36252.27</v>
      </c>
      <c r="P21" s="2" t="n">
        <v>535633.08</v>
      </c>
      <c r="Q21" s="2" t="n">
        <v>759696.67</v>
      </c>
      <c r="R21" s="2" t="n">
        <v>1167195.62</v>
      </c>
      <c r="S21" s="2" t="n">
        <v>-864.3099999999999</v>
      </c>
      <c r="T21" s="2" t="n">
        <v>100918.66</v>
      </c>
      <c r="U21" s="2" t="n">
        <v>341765.31</v>
      </c>
      <c r="V21" s="2" t="n">
        <v>114679.78</v>
      </c>
      <c r="Y21" s="2" t="n">
        <v>101656.2</v>
      </c>
      <c r="Z21" s="2" t="n">
        <v>63742.8</v>
      </c>
      <c r="AE21" s="10">
        <f>SUM(C21:AD21)</f>
        <v/>
      </c>
    </row>
    <row r="22">
      <c r="B22" t="inlineStr">
        <is>
          <t>Consulting 5002</t>
        </is>
      </c>
      <c r="J22" s="2" t="n">
        <v>1500</v>
      </c>
      <c r="N22" s="2" t="n">
        <v>46585.97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56585.03</v>
      </c>
      <c r="N24" s="2" t="n">
        <v>362773.57</v>
      </c>
      <c r="AE24" s="10">
        <f>SUM(C24:AD24)</f>
        <v/>
      </c>
    </row>
    <row r="25">
      <c r="B25" t="inlineStr">
        <is>
          <t>Other Direct Costs 5009</t>
        </is>
      </c>
      <c r="N25" s="2" t="n">
        <v>59628.38</v>
      </c>
      <c r="O25" s="2" t="n">
        <v>4462.75</v>
      </c>
      <c r="AE25" s="10">
        <f>SUM(C25:AD25)</f>
        <v/>
      </c>
    </row>
    <row r="26">
      <c r="B26" t="inlineStr">
        <is>
          <t>Material 5003</t>
        </is>
      </c>
      <c r="J26" s="2" t="n">
        <v>2020</v>
      </c>
      <c r="N26" s="2" t="n">
        <v>26572.84</v>
      </c>
      <c r="O26" s="2" t="n">
        <v>625.9</v>
      </c>
      <c r="AE26" s="10">
        <f>SUM(C26:AD26)</f>
        <v/>
      </c>
    </row>
    <row r="27">
      <c r="B27" t="inlineStr">
        <is>
          <t>Sub K Overhead 5992</t>
        </is>
      </c>
      <c r="N27" s="2" t="n">
        <v>70877</v>
      </c>
      <c r="O27" s="2" t="n">
        <v>1025.94</v>
      </c>
      <c r="P27" s="2" t="n">
        <v>15158.44</v>
      </c>
      <c r="Q27" s="2" t="n">
        <v>21499.41</v>
      </c>
      <c r="R27" s="2" t="n">
        <v>33031.6</v>
      </c>
      <c r="S27" s="2" t="n">
        <v>-24.46</v>
      </c>
      <c r="T27" s="2" t="n">
        <v>3086.12</v>
      </c>
      <c r="U27" s="2" t="n">
        <v>10458.02</v>
      </c>
      <c r="V27" s="2" t="n">
        <v>3509.2</v>
      </c>
      <c r="Y27" s="2" t="n">
        <v>2978.53</v>
      </c>
      <c r="Z27" s="2" t="n">
        <v>1867.66</v>
      </c>
      <c r="AE27" s="10">
        <f>SUM(C27:AD27)</f>
        <v/>
      </c>
    </row>
    <row r="28">
      <c r="B28" t="inlineStr">
        <is>
          <t>Sub K Overhead 5993</t>
        </is>
      </c>
      <c r="O28" s="2" t="n">
        <v>178.71</v>
      </c>
      <c r="P28" s="2" t="n">
        <v>-178.71</v>
      </c>
      <c r="AE28" s="10">
        <f>SUM(C28:AD28)</f>
        <v/>
      </c>
    </row>
    <row r="29">
      <c r="B29" t="inlineStr">
        <is>
          <t>G&amp;A 5991</t>
        </is>
      </c>
      <c r="F29" s="2" t="n">
        <v>939.96</v>
      </c>
      <c r="J29" s="2" t="n">
        <v>213648.04</v>
      </c>
      <c r="N29" s="2" t="n">
        <v>1200236.5</v>
      </c>
      <c r="O29" s="2" t="n">
        <v>69976.61</v>
      </c>
      <c r="P29" s="2" t="n">
        <v>18574.53</v>
      </c>
      <c r="Q29" s="2" t="n">
        <v>2777.04</v>
      </c>
      <c r="R29" s="2" t="n">
        <v>1607.9</v>
      </c>
      <c r="S29" s="2" t="n">
        <v>4093.72</v>
      </c>
      <c r="T29" s="2" t="n">
        <v>3469.84</v>
      </c>
      <c r="V29" s="2" t="n">
        <v>89828.92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92432.50999999999</v>
      </c>
      <c r="G32" s="2" t="n">
        <v>92432.50999999999</v>
      </c>
      <c r="H32" s="2" t="n">
        <v>92432.50999999999</v>
      </c>
      <c r="I32" s="2" t="n">
        <v>92432.50999999999</v>
      </c>
      <c r="J32" s="2" t="n">
        <v>92432.50999999999</v>
      </c>
      <c r="K32" s="2" t="n">
        <v>92432.50999999999</v>
      </c>
      <c r="L32" s="2" t="n">
        <v>92432.50999999999</v>
      </c>
      <c r="M32" s="2" t="n">
        <v>92432.50999999999</v>
      </c>
      <c r="N32" s="2" t="n">
        <v>92432.50999999999</v>
      </c>
      <c r="O32" s="2" t="n">
        <v>92432.50999999999</v>
      </c>
      <c r="P32" s="2" t="n">
        <v>92432.50999999999</v>
      </c>
      <c r="Q32" s="2" t="n">
        <v>92432.50999999999</v>
      </c>
      <c r="R32" s="2" t="n">
        <v>92432.50999999999</v>
      </c>
      <c r="S32" s="2" t="n">
        <v>92432.50999999999</v>
      </c>
      <c r="T32" s="2" t="n">
        <v>92432.50999999999</v>
      </c>
      <c r="U32" s="2" t="n">
        <v>92432.50999999999</v>
      </c>
      <c r="V32" s="2" t="n">
        <v>92432.50999999999</v>
      </c>
      <c r="W32" s="2" t="n">
        <v>92432.50999999999</v>
      </c>
      <c r="AE32" s="10">
        <f>SUM(C32:AD32)</f>
        <v/>
      </c>
    </row>
    <row r="33">
      <c r="B33" t="inlineStr">
        <is>
          <t>Fringe 5990</t>
        </is>
      </c>
      <c r="F33" s="2" t="n">
        <v>38433.43</v>
      </c>
      <c r="G33" s="2" t="n">
        <v>38433.43</v>
      </c>
      <c r="H33" s="2" t="n">
        <v>38433.43</v>
      </c>
      <c r="I33" s="2" t="n">
        <v>38433.43</v>
      </c>
      <c r="J33" s="2" t="n">
        <v>38433.43</v>
      </c>
      <c r="K33" s="2" t="n">
        <v>38433.43</v>
      </c>
      <c r="L33" s="2" t="n">
        <v>38433.43</v>
      </c>
      <c r="M33" s="2" t="n">
        <v>38433.43</v>
      </c>
      <c r="N33" s="2" t="n">
        <v>38433.43</v>
      </c>
      <c r="O33" s="2" t="n">
        <v>38433.43</v>
      </c>
      <c r="P33" s="2" t="n">
        <v>38433.43</v>
      </c>
      <c r="Q33" s="2" t="n">
        <v>38433.43</v>
      </c>
      <c r="R33" s="2" t="n">
        <v>38433.43</v>
      </c>
      <c r="S33" s="2" t="n">
        <v>38433.43</v>
      </c>
      <c r="T33" s="2" t="n">
        <v>38433.43</v>
      </c>
      <c r="U33" s="2" t="n">
        <v>38433.43</v>
      </c>
      <c r="V33" s="2" t="n">
        <v>38433.43</v>
      </c>
      <c r="W33" s="2" t="n">
        <v>38433.43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538446.65</v>
      </c>
      <c r="O35" s="2" t="n">
        <v>1615339.95</v>
      </c>
      <c r="P35" s="2" t="n">
        <v>1615339.95</v>
      </c>
      <c r="Q35" s="2" t="n">
        <v>1615339.95</v>
      </c>
      <c r="R35" s="2" t="n">
        <v>538446.65</v>
      </c>
      <c r="S35" s="2" t="n">
        <v>47995.86</v>
      </c>
      <c r="T35" s="2" t="n">
        <v>47995.86</v>
      </c>
      <c r="U35" s="2" t="n">
        <v>47995.86</v>
      </c>
      <c r="V35" s="2" t="n">
        <v>47995.86</v>
      </c>
      <c r="W35" s="2" t="n">
        <v>15998.62</v>
      </c>
      <c r="X35" s="2" t="n">
        <v>37089</v>
      </c>
      <c r="Y35" s="2" t="n">
        <v>37089</v>
      </c>
      <c r="Z35" s="2" t="n">
        <v>37089</v>
      </c>
      <c r="AA35" s="2" t="n">
        <v>37089</v>
      </c>
      <c r="AB35" s="2" t="n">
        <v>12363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15070.69</v>
      </c>
      <c r="O41" s="2" t="n">
        <v>45212.07</v>
      </c>
      <c r="P41" s="2" t="n">
        <v>45212.07</v>
      </c>
      <c r="Q41" s="2" t="n">
        <v>45212.07</v>
      </c>
      <c r="R41" s="2" t="n">
        <v>15070.69</v>
      </c>
      <c r="S41" s="2" t="n">
        <v>1468.68</v>
      </c>
      <c r="T41" s="2" t="n">
        <v>1468.68</v>
      </c>
      <c r="U41" s="2" t="n">
        <v>1468.68</v>
      </c>
      <c r="V41" s="2" t="n">
        <v>1468.68</v>
      </c>
      <c r="W41" s="2" t="n">
        <v>489.56</v>
      </c>
      <c r="X41" s="2" t="n">
        <v>1152.03</v>
      </c>
      <c r="Y41" s="2" t="n">
        <v>1152.03</v>
      </c>
      <c r="Z41" s="2" t="n">
        <v>1152.03</v>
      </c>
      <c r="AA41" s="2" t="n">
        <v>1152.03</v>
      </c>
      <c r="AB41" s="2" t="n">
        <v>384.01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31015.22</v>
      </c>
      <c r="G43" s="2" t="n">
        <v>31015.22</v>
      </c>
      <c r="H43" s="2" t="n">
        <v>31015.22</v>
      </c>
      <c r="I43" s="2" t="n">
        <v>31015.22</v>
      </c>
      <c r="J43" s="2" t="n">
        <v>31015.22</v>
      </c>
      <c r="K43" s="2" t="n">
        <v>31015.22</v>
      </c>
      <c r="L43" s="2" t="n">
        <v>31015.22</v>
      </c>
      <c r="M43" s="2" t="n">
        <v>31015.22</v>
      </c>
      <c r="N43" s="2" t="n">
        <v>31015.22</v>
      </c>
      <c r="O43" s="2" t="n">
        <v>31015.22</v>
      </c>
      <c r="P43" s="2" t="n">
        <v>31015.22</v>
      </c>
      <c r="Q43" s="2" t="n">
        <v>31015.22</v>
      </c>
      <c r="R43" s="2" t="n">
        <v>31015.22</v>
      </c>
      <c r="S43" s="2" t="n">
        <v>31015.22</v>
      </c>
      <c r="T43" s="2" t="n">
        <v>31015.22</v>
      </c>
      <c r="U43" s="2" t="n">
        <v>31015.22</v>
      </c>
      <c r="V43" s="2" t="n">
        <v>31015.22</v>
      </c>
      <c r="W43" s="2" t="n">
        <v>31015.22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9391000</v>
      </c>
      <c r="AE45" s="10">
        <f>SUM(C45:AD45)</f>
        <v/>
      </c>
    </row>
    <row r="46">
      <c r="B46" t="inlineStr">
        <is>
          <t>Obligated</t>
        </is>
      </c>
      <c r="F46" s="2" t="n">
        <v>9391000</v>
      </c>
      <c r="AE46" s="10">
        <f>SUM(C46:AD46)</f>
        <v/>
      </c>
    </row>
    <row r="47">
      <c r="B47" t="inlineStr">
        <is>
          <t>Expended</t>
        </is>
      </c>
      <c r="G47" s="2" t="n">
        <v>350000</v>
      </c>
      <c r="H47" s="2" t="n">
        <v>250000</v>
      </c>
      <c r="J47" s="2" t="n">
        <v>1200000</v>
      </c>
      <c r="K47" s="2" t="n">
        <v>1200000</v>
      </c>
      <c r="L47" s="2" t="n">
        <v>1065166.67</v>
      </c>
      <c r="M47" s="2" t="n">
        <v>3000000</v>
      </c>
      <c r="N47" s="2" t="n">
        <v>590000</v>
      </c>
      <c r="O47" s="2" t="n">
        <v>578611.11</v>
      </c>
      <c r="P47" s="2" t="n">
        <v>1157222.22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2ADP010</t>
        </is>
      </c>
    </row>
    <row r="4">
      <c r="A4" s="1" t="inlineStr">
        <is>
          <t>ROLLUP #</t>
        </is>
      </c>
      <c r="B4" t="inlineStr">
        <is>
          <t>713061</t>
        </is>
      </c>
    </row>
    <row r="5">
      <c r="A5" s="1" t="inlineStr">
        <is>
          <t>PROJECT NAME</t>
        </is>
      </c>
      <c r="B5" t="inlineStr">
        <is>
          <t>Digital Manufacturing Process Development</t>
        </is>
      </c>
    </row>
    <row r="6">
      <c r="A6" s="1" t="inlineStr">
        <is>
          <t>TECHNICAL POINT OF CONTACT</t>
        </is>
      </c>
      <c r="B6" t="inlineStr">
        <is>
          <t>Meredith Anderson Dyck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3472.43</v>
      </c>
      <c r="J18" s="2" t="n">
        <v>55381.22</v>
      </c>
      <c r="N18" s="2" t="n">
        <v>91507.44</v>
      </c>
      <c r="O18" s="2" t="n">
        <v>18264.22</v>
      </c>
      <c r="P18" s="2" t="n">
        <v>707.26</v>
      </c>
      <c r="Q18" s="2" t="n">
        <v>506.76</v>
      </c>
      <c r="R18" s="2" t="n">
        <v>6573.62</v>
      </c>
      <c r="S18" s="2" t="n">
        <v>1080.63</v>
      </c>
      <c r="T18" s="2" t="n">
        <v>174.04</v>
      </c>
      <c r="U18" s="2" t="n">
        <v>80.78</v>
      </c>
      <c r="V18" s="2" t="n">
        <v>525.04</v>
      </c>
      <c r="W18" s="2" t="n">
        <v>4947.44</v>
      </c>
      <c r="X18" s="2" t="n">
        <v>1099.94</v>
      </c>
      <c r="Y18" s="2" t="n">
        <v>8790.76</v>
      </c>
      <c r="Z18" s="2" t="n">
        <v>1470.42</v>
      </c>
      <c r="AA18" s="2" t="n">
        <v>1464.83</v>
      </c>
      <c r="AE18" s="10">
        <f>SUM(C18:AD18)</f>
        <v/>
      </c>
    </row>
    <row r="19">
      <c r="B19" t="inlineStr">
        <is>
          <t>Fringe 5990</t>
        </is>
      </c>
      <c r="F19" s="2" t="n">
        <v>1443.84</v>
      </c>
      <c r="J19" s="2" t="n">
        <v>21858.97</v>
      </c>
      <c r="N19" s="2" t="n">
        <v>39274.99</v>
      </c>
      <c r="O19" s="2" t="n">
        <v>8270.040000000001</v>
      </c>
      <c r="P19" s="2" t="n">
        <v>320.24</v>
      </c>
      <c r="Q19" s="2" t="n">
        <v>229.46</v>
      </c>
      <c r="R19" s="2" t="n">
        <v>2976.53</v>
      </c>
      <c r="S19" s="2" t="n">
        <v>489.31</v>
      </c>
      <c r="T19" s="2" t="n">
        <v>114.18</v>
      </c>
      <c r="U19" s="2" t="n">
        <v>38.86</v>
      </c>
      <c r="V19" s="2" t="n">
        <v>252.54</v>
      </c>
      <c r="W19" s="2" t="n">
        <v>2486.58</v>
      </c>
      <c r="X19" s="2" t="n">
        <v>552.83</v>
      </c>
      <c r="Y19" s="2" t="n">
        <v>4418.24</v>
      </c>
      <c r="Z19" s="2" t="n">
        <v>739.04</v>
      </c>
      <c r="AA19" s="2" t="n">
        <v>792.91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12690</v>
      </c>
      <c r="N22" s="2" t="n">
        <v>2350</v>
      </c>
      <c r="O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997.5</v>
      </c>
      <c r="O25" s="2" t="n">
        <v>16987.5</v>
      </c>
      <c r="AE25" s="10">
        <f>SUM(C25:AD25)</f>
        <v/>
      </c>
    </row>
    <row r="26">
      <c r="B26" t="inlineStr">
        <is>
          <t>Material 5003</t>
        </is>
      </c>
      <c r="J26" s="2" t="n">
        <v>892</v>
      </c>
      <c r="N26" s="2" t="n">
        <v>6177.93</v>
      </c>
      <c r="O26" s="2" t="n">
        <v>1435.79</v>
      </c>
      <c r="P26" s="2" t="n">
        <v>1240.2</v>
      </c>
      <c r="W26" s="2" t="n">
        <v>176.2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1165.16</v>
      </c>
      <c r="J29" s="2" t="n">
        <v>51041.93</v>
      </c>
      <c r="N29" s="2" t="n">
        <v>179905.42</v>
      </c>
      <c r="O29" s="2" t="n">
        <v>65062.57</v>
      </c>
      <c r="P29" s="2" t="n">
        <v>3281.83</v>
      </c>
      <c r="Q29" s="2" t="n">
        <v>1065.46</v>
      </c>
      <c r="R29" s="2" t="n">
        <v>13820.99</v>
      </c>
      <c r="S29" s="2" t="n">
        <v>2271.99</v>
      </c>
      <c r="T29" s="2" t="n">
        <v>169.43</v>
      </c>
      <c r="U29" s="2" t="n">
        <v>157.19</v>
      </c>
      <c r="V29" s="2" t="n">
        <v>1021.67</v>
      </c>
      <c r="W29" s="2" t="n">
        <v>10105.61</v>
      </c>
      <c r="X29" s="2" t="n">
        <v>2194.72</v>
      </c>
      <c r="Y29" s="2" t="n">
        <v>17540.24</v>
      </c>
      <c r="Z29" s="2" t="n">
        <v>2933.94</v>
      </c>
      <c r="AA29" s="2" t="n">
        <v>3076.4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18058.33</v>
      </c>
      <c r="G32" s="2" t="n">
        <v>18058.33</v>
      </c>
      <c r="H32" s="2" t="n">
        <v>18058.33</v>
      </c>
      <c r="I32" s="2" t="n">
        <v>18058.33</v>
      </c>
      <c r="J32" s="2" t="n">
        <v>18058.33</v>
      </c>
      <c r="K32" s="2" t="n">
        <v>18058.33</v>
      </c>
      <c r="L32" s="2" t="n">
        <v>18058.33</v>
      </c>
      <c r="M32" s="2" t="n">
        <v>18058.33</v>
      </c>
      <c r="N32" s="2" t="n">
        <v>18058.33</v>
      </c>
      <c r="O32" s="2" t="n">
        <v>18058.33</v>
      </c>
      <c r="P32" s="2" t="n">
        <v>18058.33</v>
      </c>
      <c r="Q32" s="2" t="n">
        <v>18058.33</v>
      </c>
      <c r="R32" s="2" t="n">
        <v>18058.33</v>
      </c>
      <c r="S32" s="2" t="n">
        <v>18058.33</v>
      </c>
      <c r="T32" s="2" t="n">
        <v>18058.33</v>
      </c>
      <c r="U32" s="2" t="n">
        <v>18058.33</v>
      </c>
      <c r="V32" s="2" t="n">
        <v>18058.33</v>
      </c>
      <c r="W32" s="2" t="n">
        <v>18058.33</v>
      </c>
      <c r="X32" s="2" t="n">
        <v>18058.33</v>
      </c>
      <c r="Y32" s="2" t="n">
        <v>18058.33</v>
      </c>
      <c r="Z32" s="2" t="n">
        <v>18058.33</v>
      </c>
      <c r="AA32" s="2" t="n">
        <v>18058.33</v>
      </c>
      <c r="AE32" s="10">
        <f>SUM(C32:AD32)</f>
        <v/>
      </c>
    </row>
    <row r="33">
      <c r="B33" t="inlineStr">
        <is>
          <t>Fringe 5990</t>
        </is>
      </c>
      <c r="F33" s="2" t="n">
        <v>7508.65</v>
      </c>
      <c r="G33" s="2" t="n">
        <v>7508.65</v>
      </c>
      <c r="H33" s="2" t="n">
        <v>7508.65</v>
      </c>
      <c r="I33" s="2" t="n">
        <v>7508.65</v>
      </c>
      <c r="J33" s="2" t="n">
        <v>7508.65</v>
      </c>
      <c r="K33" s="2" t="n">
        <v>7508.65</v>
      </c>
      <c r="L33" s="2" t="n">
        <v>7508.65</v>
      </c>
      <c r="M33" s="2" t="n">
        <v>7508.65</v>
      </c>
      <c r="N33" s="2" t="n">
        <v>7508.65</v>
      </c>
      <c r="O33" s="2" t="n">
        <v>7508.65</v>
      </c>
      <c r="P33" s="2" t="n">
        <v>7508.65</v>
      </c>
      <c r="Q33" s="2" t="n">
        <v>7508.65</v>
      </c>
      <c r="R33" s="2" t="n">
        <v>7508.65</v>
      </c>
      <c r="S33" s="2" t="n">
        <v>7508.65</v>
      </c>
      <c r="T33" s="2" t="n">
        <v>7508.65</v>
      </c>
      <c r="U33" s="2" t="n">
        <v>7508.65</v>
      </c>
      <c r="V33" s="2" t="n">
        <v>7508.65</v>
      </c>
      <c r="W33" s="2" t="n">
        <v>7508.65</v>
      </c>
      <c r="X33" s="2" t="n">
        <v>7508.65</v>
      </c>
      <c r="Y33" s="2" t="n">
        <v>7508.65</v>
      </c>
      <c r="Z33" s="2" t="n">
        <v>7508.65</v>
      </c>
      <c r="AA33" s="2" t="n">
        <v>7508.65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6059.38</v>
      </c>
      <c r="G43" s="2" t="n">
        <v>6059.38</v>
      </c>
      <c r="H43" s="2" t="n">
        <v>6059.38</v>
      </c>
      <c r="I43" s="2" t="n">
        <v>6059.38</v>
      </c>
      <c r="J43" s="2" t="n">
        <v>6059.38</v>
      </c>
      <c r="K43" s="2" t="n">
        <v>6059.38</v>
      </c>
      <c r="L43" s="2" t="n">
        <v>6059.38</v>
      </c>
      <c r="M43" s="2" t="n">
        <v>6059.38</v>
      </c>
      <c r="N43" s="2" t="n">
        <v>6059.38</v>
      </c>
      <c r="O43" s="2" t="n">
        <v>6059.38</v>
      </c>
      <c r="P43" s="2" t="n">
        <v>6059.38</v>
      </c>
      <c r="Q43" s="2" t="n">
        <v>6059.38</v>
      </c>
      <c r="R43" s="2" t="n">
        <v>6059.38</v>
      </c>
      <c r="S43" s="2" t="n">
        <v>6059.38</v>
      </c>
      <c r="T43" s="2" t="n">
        <v>6059.38</v>
      </c>
      <c r="U43" s="2" t="n">
        <v>6059.38</v>
      </c>
      <c r="V43" s="2" t="n">
        <v>6059.38</v>
      </c>
      <c r="W43" s="2" t="n">
        <v>6059.38</v>
      </c>
      <c r="X43" s="2" t="n">
        <v>6059.38</v>
      </c>
      <c r="Y43" s="2" t="n">
        <v>6059.38</v>
      </c>
      <c r="Z43" s="2" t="n">
        <v>6059.38</v>
      </c>
      <c r="AA43" s="2" t="n">
        <v>6059.38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695780</v>
      </c>
      <c r="AE45" s="10">
        <f>SUM(C45:AD45)</f>
        <v/>
      </c>
    </row>
    <row r="46">
      <c r="B46" t="inlineStr">
        <is>
          <t>Obligated</t>
        </is>
      </c>
      <c r="F46" s="2" t="n">
        <v>695780</v>
      </c>
      <c r="AE46" s="10">
        <f>SUM(C46:AD46)</f>
        <v/>
      </c>
    </row>
    <row r="47">
      <c r="B47" t="inlineStr">
        <is>
          <t>Expended</t>
        </is>
      </c>
      <c r="G47" s="2" t="n">
        <v>120000</v>
      </c>
      <c r="H47" s="2" t="n">
        <v>200000</v>
      </c>
      <c r="K47" s="2" t="n">
        <v>200000</v>
      </c>
      <c r="L47" s="2" t="n">
        <v>175780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2ADP011</t>
        </is>
      </c>
    </row>
    <row r="4">
      <c r="A4" s="1" t="inlineStr">
        <is>
          <t>ROLLUP #</t>
        </is>
      </c>
      <c r="B4" t="inlineStr">
        <is>
          <t>1011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Mkt Data nd Institute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17731.09</v>
      </c>
      <c r="N18" s="2" t="n">
        <v>7969.23</v>
      </c>
      <c r="O18" s="2" t="n">
        <v>7401.66</v>
      </c>
      <c r="P18" s="2" t="n">
        <v>13243.04</v>
      </c>
      <c r="Q18" s="2" t="n">
        <v>6377.16</v>
      </c>
      <c r="R18" s="2" t="n">
        <v>2999.9</v>
      </c>
      <c r="S18" s="2" t="n">
        <v>987.2</v>
      </c>
      <c r="T18" s="2" t="n">
        <v>3561.41</v>
      </c>
      <c r="U18" s="2" t="n">
        <v>1074.77</v>
      </c>
      <c r="V18" s="2" t="n">
        <v>13425.49</v>
      </c>
      <c r="W18" s="2" t="n">
        <v>28914.3</v>
      </c>
      <c r="X18" s="2" t="n">
        <v>26920.3</v>
      </c>
      <c r="Y18" s="2" t="n">
        <v>1893.87</v>
      </c>
      <c r="AE18" s="10">
        <f>SUM(C18:AD18)</f>
        <v/>
      </c>
    </row>
    <row r="19">
      <c r="B19" t="inlineStr">
        <is>
          <t>Fringe 5990</t>
        </is>
      </c>
      <c r="J19" s="2" t="n">
        <v>6998.46</v>
      </c>
      <c r="N19" s="2" t="n">
        <v>3420.4</v>
      </c>
      <c r="O19" s="2" t="n">
        <v>3351.47</v>
      </c>
      <c r="P19" s="2" t="n">
        <v>5996.44</v>
      </c>
      <c r="Q19" s="2" t="n">
        <v>2887.57</v>
      </c>
      <c r="R19" s="2" t="n">
        <v>1358.35</v>
      </c>
      <c r="S19" s="2" t="n">
        <v>447.01</v>
      </c>
      <c r="T19" s="2" t="n">
        <v>1740.87</v>
      </c>
      <c r="U19" s="2" t="n">
        <v>516.97</v>
      </c>
      <c r="V19" s="2" t="n">
        <v>6457.65</v>
      </c>
      <c r="W19" s="2" t="n">
        <v>14532.32</v>
      </c>
      <c r="X19" s="2" t="n">
        <v>13530.14</v>
      </c>
      <c r="Y19" s="2" t="n">
        <v>951.86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118116.84</v>
      </c>
      <c r="N21" s="2" t="n">
        <v>1386984.21</v>
      </c>
      <c r="O21" s="2" t="n">
        <v>100513.88</v>
      </c>
      <c r="Q21" s="2" t="n">
        <v>58957.85</v>
      </c>
      <c r="AE21" s="10">
        <f>SUM(C21:AD21)</f>
        <v/>
      </c>
    </row>
    <row r="22">
      <c r="B22" t="inlineStr">
        <is>
          <t>Consulting 5002</t>
        </is>
      </c>
      <c r="N22" s="2" t="n">
        <v>15000</v>
      </c>
      <c r="O22" s="2" t="n">
        <v>3000</v>
      </c>
      <c r="P22" s="2" t="n">
        <v>3000</v>
      </c>
      <c r="Q22" s="2" t="n">
        <v>1500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27428</v>
      </c>
      <c r="P25" s="2" t="n">
        <v>7500</v>
      </c>
      <c r="V25" s="2" t="n">
        <v>93.16</v>
      </c>
      <c r="W25" s="2" t="n">
        <v>576</v>
      </c>
      <c r="X25" s="2" t="n">
        <v>25308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36303.12</v>
      </c>
      <c r="O27" s="2" t="n">
        <v>2844.54</v>
      </c>
      <c r="Q27" s="2" t="n">
        <v>1668.51</v>
      </c>
      <c r="AE27" s="10">
        <f>SUM(C27:AD27)</f>
        <v/>
      </c>
    </row>
    <row r="28">
      <c r="B28" t="inlineStr">
        <is>
          <t>Sub K Overhead 5993</t>
        </is>
      </c>
      <c r="O28" s="2" t="n">
        <v>8540.68</v>
      </c>
      <c r="P28" s="2" t="n">
        <v>-8540.700000000001</v>
      </c>
      <c r="AE28" s="10">
        <f>SUM(C28:AD28)</f>
        <v/>
      </c>
    </row>
    <row r="29">
      <c r="B29" t="inlineStr">
        <is>
          <t>G&amp;A 5991</t>
        </is>
      </c>
      <c r="J29" s="2" t="n">
        <v>13368.79</v>
      </c>
      <c r="N29" s="2" t="n">
        <v>69500.08</v>
      </c>
      <c r="P29" s="2" t="n">
        <v>62942.52</v>
      </c>
      <c r="Q29" s="2" t="n">
        <v>15578.74</v>
      </c>
      <c r="R29" s="2" t="n">
        <v>6307.26</v>
      </c>
      <c r="S29" s="2" t="n">
        <v>2075.56</v>
      </c>
      <c r="T29" s="2" t="n">
        <v>6775.5</v>
      </c>
      <c r="U29" s="2" t="n">
        <v>2091.38</v>
      </c>
      <c r="V29" s="2" t="n">
        <v>26246.86</v>
      </c>
      <c r="W29" s="2" t="n">
        <v>58457.62</v>
      </c>
      <c r="X29" s="2" t="n">
        <v>87320.63</v>
      </c>
      <c r="Y29" s="2" t="n">
        <v>3778.85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18058.64</v>
      </c>
      <c r="G32" s="2" t="n">
        <v>18058.64</v>
      </c>
      <c r="H32" s="2" t="n">
        <v>18058.64</v>
      </c>
      <c r="I32" s="2" t="n">
        <v>18058.64</v>
      </c>
      <c r="J32" s="2" t="n">
        <v>18058.64</v>
      </c>
      <c r="K32" s="2" t="n">
        <v>18058.64</v>
      </c>
      <c r="L32" s="2" t="n">
        <v>18058.64</v>
      </c>
      <c r="M32" s="2" t="n">
        <v>18058.64</v>
      </c>
      <c r="N32" s="2" t="n">
        <v>18058.64</v>
      </c>
      <c r="O32" s="2" t="n">
        <v>18058.64</v>
      </c>
      <c r="P32" s="2" t="n">
        <v>18058.64</v>
      </c>
      <c r="Q32" s="2" t="n">
        <v>18058.64</v>
      </c>
      <c r="R32" s="2" t="n">
        <v>18058.64</v>
      </c>
      <c r="S32" s="2" t="n">
        <v>18058.64</v>
      </c>
      <c r="T32" s="2" t="n">
        <v>18058.64</v>
      </c>
      <c r="U32" s="2" t="n">
        <v>18058.64</v>
      </c>
      <c r="V32" s="2" t="n">
        <v>18058.64</v>
      </c>
      <c r="W32" s="2" t="n">
        <v>18058.64</v>
      </c>
      <c r="X32" s="2" t="n">
        <v>18058.64</v>
      </c>
      <c r="Y32" s="2" t="n">
        <v>18058.64</v>
      </c>
      <c r="AE32" s="10">
        <f>SUM(C32:AD32)</f>
        <v/>
      </c>
    </row>
    <row r="33">
      <c r="B33" t="inlineStr">
        <is>
          <t>Fringe 5990</t>
        </is>
      </c>
      <c r="F33" s="2" t="n">
        <v>7508.78</v>
      </c>
      <c r="G33" s="2" t="n">
        <v>7508.78</v>
      </c>
      <c r="H33" s="2" t="n">
        <v>7508.78</v>
      </c>
      <c r="I33" s="2" t="n">
        <v>7508.78</v>
      </c>
      <c r="J33" s="2" t="n">
        <v>7508.78</v>
      </c>
      <c r="K33" s="2" t="n">
        <v>7508.78</v>
      </c>
      <c r="L33" s="2" t="n">
        <v>7508.78</v>
      </c>
      <c r="M33" s="2" t="n">
        <v>7508.78</v>
      </c>
      <c r="N33" s="2" t="n">
        <v>7508.78</v>
      </c>
      <c r="O33" s="2" t="n">
        <v>7508.78</v>
      </c>
      <c r="P33" s="2" t="n">
        <v>7508.78</v>
      </c>
      <c r="Q33" s="2" t="n">
        <v>7508.78</v>
      </c>
      <c r="R33" s="2" t="n">
        <v>7508.78</v>
      </c>
      <c r="S33" s="2" t="n">
        <v>7508.78</v>
      </c>
      <c r="T33" s="2" t="n">
        <v>7508.78</v>
      </c>
      <c r="U33" s="2" t="n">
        <v>7508.78</v>
      </c>
      <c r="V33" s="2" t="n">
        <v>7508.78</v>
      </c>
      <c r="W33" s="2" t="n">
        <v>7508.78</v>
      </c>
      <c r="X33" s="2" t="n">
        <v>7508.78</v>
      </c>
      <c r="Y33" s="2" t="n">
        <v>7508.78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203169.36</v>
      </c>
      <c r="J35" s="2" t="n">
        <v>224596.22</v>
      </c>
      <c r="K35" s="2" t="n">
        <v>279430.62</v>
      </c>
      <c r="L35" s="2" t="n">
        <v>279430.62</v>
      </c>
      <c r="M35" s="2" t="n">
        <v>279430.62</v>
      </c>
      <c r="N35" s="2" t="n">
        <v>279430.62</v>
      </c>
      <c r="O35" s="2" t="n">
        <v>97662.12</v>
      </c>
      <c r="P35" s="2" t="n">
        <v>21426.86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I41" s="2" t="n">
        <v>4831.5</v>
      </c>
      <c r="J41" s="2" t="n">
        <v>5409.79</v>
      </c>
      <c r="K41" s="2" t="n">
        <v>6847.39</v>
      </c>
      <c r="L41" s="2" t="n">
        <v>6847.39</v>
      </c>
      <c r="M41" s="2" t="n">
        <v>6847.39</v>
      </c>
      <c r="N41" s="2" t="n">
        <v>6847.39</v>
      </c>
      <c r="O41" s="2" t="n">
        <v>2601.89</v>
      </c>
      <c r="P41" s="2" t="n">
        <v>578.29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6059.48</v>
      </c>
      <c r="G43" s="2" t="n">
        <v>6059.48</v>
      </c>
      <c r="H43" s="2" t="n">
        <v>6059.48</v>
      </c>
      <c r="I43" s="2" t="n">
        <v>6059.48</v>
      </c>
      <c r="J43" s="2" t="n">
        <v>6059.48</v>
      </c>
      <c r="K43" s="2" t="n">
        <v>6059.48</v>
      </c>
      <c r="L43" s="2" t="n">
        <v>6059.48</v>
      </c>
      <c r="M43" s="2" t="n">
        <v>6059.48</v>
      </c>
      <c r="N43" s="2" t="n">
        <v>6059.48</v>
      </c>
      <c r="O43" s="2" t="n">
        <v>6059.48</v>
      </c>
      <c r="P43" s="2" t="n">
        <v>6059.48</v>
      </c>
      <c r="Q43" s="2" t="n">
        <v>6059.48</v>
      </c>
      <c r="R43" s="2" t="n">
        <v>6059.48</v>
      </c>
      <c r="S43" s="2" t="n">
        <v>6059.48</v>
      </c>
      <c r="T43" s="2" t="n">
        <v>6059.48</v>
      </c>
      <c r="U43" s="2" t="n">
        <v>6059.48</v>
      </c>
      <c r="V43" s="2" t="n">
        <v>6059.48</v>
      </c>
      <c r="W43" s="2" t="n">
        <v>6059.48</v>
      </c>
      <c r="X43" s="2" t="n">
        <v>6059.48</v>
      </c>
      <c r="Y43" s="2" t="n">
        <v>6059.48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2337926</v>
      </c>
      <c r="AE45" s="10">
        <f>SUM(C45:AD45)</f>
        <v/>
      </c>
    </row>
    <row r="46">
      <c r="B46" t="inlineStr">
        <is>
          <t>Obligated</t>
        </is>
      </c>
      <c r="F46" s="2" t="n">
        <v>2337926</v>
      </c>
      <c r="AE46" s="10">
        <f>SUM(C46:AD46)</f>
        <v/>
      </c>
    </row>
    <row r="47">
      <c r="B47" t="inlineStr">
        <is>
          <t>Expended</t>
        </is>
      </c>
      <c r="H47" s="2" t="n">
        <v>714249</v>
      </c>
      <c r="J47" s="2" t="n">
        <v>200000</v>
      </c>
      <c r="K47" s="2" t="n">
        <v>700000</v>
      </c>
      <c r="L47" s="2" t="n">
        <v>180919.25</v>
      </c>
      <c r="N47" s="2" t="n">
        <v>542757.75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2ADP012</t>
        </is>
      </c>
    </row>
    <row r="4">
      <c r="A4" s="1" t="inlineStr">
        <is>
          <t>ROLLUP #</t>
        </is>
      </c>
      <c r="B4" t="inlineStr">
        <is>
          <t>713068</t>
        </is>
      </c>
    </row>
    <row r="5">
      <c r="A5" s="1" t="inlineStr">
        <is>
          <t>PROJECT NAME</t>
        </is>
      </c>
      <c r="B5" t="inlineStr">
        <is>
          <t>AJ GPS ADP Follow On</t>
        </is>
      </c>
    </row>
    <row r="6">
      <c r="A6" s="1" t="inlineStr">
        <is>
          <t>TECHNICAL POINT OF CONTACT</t>
        </is>
      </c>
      <c r="B6" t="inlineStr">
        <is>
          <t>Miguel Snyder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424.76</v>
      </c>
      <c r="N18" s="2" t="n">
        <v>8471.559999999999</v>
      </c>
      <c r="AE18" s="10">
        <f>SUM(C18:AD18)</f>
        <v/>
      </c>
    </row>
    <row r="19">
      <c r="B19" t="inlineStr">
        <is>
          <t>Fringe 5990</t>
        </is>
      </c>
      <c r="J19" s="2" t="n">
        <v>167.65</v>
      </c>
      <c r="N19" s="2" t="n">
        <v>3636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327448.56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4684.89</v>
      </c>
      <c r="N29" s="2" t="n">
        <v>15614.9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1706.48</v>
      </c>
      <c r="H32" s="2" t="n">
        <v>1706.48</v>
      </c>
      <c r="I32" s="2" t="n">
        <v>1706.48</v>
      </c>
      <c r="J32" s="2" t="n">
        <v>1706.48</v>
      </c>
      <c r="K32" s="2" t="n">
        <v>1706.48</v>
      </c>
      <c r="L32" s="2" t="n">
        <v>1706.48</v>
      </c>
      <c r="M32" s="2" t="n">
        <v>1706.48</v>
      </c>
      <c r="N32" s="2" t="n">
        <v>1706.48</v>
      </c>
      <c r="O32" s="2" t="n">
        <v>1706.48</v>
      </c>
      <c r="AE32" s="10">
        <f>SUM(C32:AD32)</f>
        <v/>
      </c>
    </row>
    <row r="33">
      <c r="B33" t="inlineStr">
        <is>
          <t>Fringe 5990</t>
        </is>
      </c>
      <c r="G33" s="2" t="n">
        <v>673.55</v>
      </c>
      <c r="H33" s="2" t="n">
        <v>673.55</v>
      </c>
      <c r="I33" s="2" t="n">
        <v>673.55</v>
      </c>
      <c r="J33" s="2" t="n">
        <v>673.55</v>
      </c>
      <c r="K33" s="2" t="n">
        <v>673.55</v>
      </c>
      <c r="L33" s="2" t="n">
        <v>673.55</v>
      </c>
      <c r="M33" s="2" t="n">
        <v>673.55</v>
      </c>
      <c r="N33" s="2" t="n">
        <v>673.55</v>
      </c>
      <c r="O33" s="2" t="n">
        <v>673.55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37280.22</v>
      </c>
      <c r="H35" s="2" t="n">
        <v>37280.22</v>
      </c>
      <c r="I35" s="2" t="n">
        <v>37280.22</v>
      </c>
      <c r="J35" s="2" t="n">
        <v>37280.22</v>
      </c>
      <c r="K35" s="2" t="n">
        <v>37280.22</v>
      </c>
      <c r="L35" s="2" t="n">
        <v>37280.22</v>
      </c>
      <c r="M35" s="2" t="n">
        <v>37280.22</v>
      </c>
      <c r="N35" s="2" t="n">
        <v>37280.22</v>
      </c>
      <c r="O35" s="2" t="n">
        <v>37280.22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1286.64</v>
      </c>
      <c r="H43" s="2" t="n">
        <v>1286.64</v>
      </c>
      <c r="I43" s="2" t="n">
        <v>1286.64</v>
      </c>
      <c r="J43" s="2" t="n">
        <v>1286.64</v>
      </c>
      <c r="K43" s="2" t="n">
        <v>1286.64</v>
      </c>
      <c r="L43" s="2" t="n">
        <v>1286.64</v>
      </c>
      <c r="M43" s="2" t="n">
        <v>1286.64</v>
      </c>
      <c r="N43" s="2" t="n">
        <v>1286.64</v>
      </c>
      <c r="O43" s="2" t="n">
        <v>1286.64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368522</v>
      </c>
      <c r="AE45" s="10">
        <f>SUM(C45:AD45)</f>
        <v/>
      </c>
    </row>
    <row r="46">
      <c r="B46" t="inlineStr">
        <is>
          <t>Obligated</t>
        </is>
      </c>
      <c r="G46" s="2" t="n">
        <v>368522</v>
      </c>
      <c r="AE46" s="10">
        <f>SUM(C46:AD46)</f>
        <v/>
      </c>
    </row>
    <row r="47">
      <c r="B47" t="inlineStr">
        <is>
          <t>Expended</t>
        </is>
      </c>
      <c r="H47" s="2" t="n">
        <v>357000</v>
      </c>
      <c r="J47" s="2" t="n">
        <v>11522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2ADP013</t>
        </is>
      </c>
    </row>
    <row r="4">
      <c r="A4" s="1" t="inlineStr">
        <is>
          <t>ROLLUP #</t>
        </is>
      </c>
      <c r="B4" t="inlineStr">
        <is>
          <t>713062</t>
        </is>
      </c>
    </row>
    <row r="5">
      <c r="A5" s="1" t="inlineStr">
        <is>
          <t>PROJECT NAME</t>
        </is>
      </c>
      <c r="B5" t="inlineStr">
        <is>
          <t>Advanced Manufacturing Assessent nd Devlopment of 40MM Pilot Line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1330.44</v>
      </c>
      <c r="J18" s="2" t="n">
        <v>2049.6</v>
      </c>
      <c r="N18" s="2" t="n">
        <v>3533.68</v>
      </c>
      <c r="O18" s="2" t="n">
        <v>13003.86</v>
      </c>
      <c r="AE18" s="10">
        <f>SUM(C18:AD18)</f>
        <v/>
      </c>
    </row>
    <row r="19">
      <c r="B19" t="inlineStr">
        <is>
          <t>Fringe 5990</t>
        </is>
      </c>
      <c r="F19" s="2" t="n">
        <v>553.2</v>
      </c>
      <c r="J19" s="2" t="n">
        <v>808.98</v>
      </c>
      <c r="N19" s="2" t="n">
        <v>1516.66</v>
      </c>
      <c r="O19" s="2" t="n">
        <v>5888.15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449999.79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446.42</v>
      </c>
      <c r="J29" s="2" t="n">
        <v>1545.35</v>
      </c>
      <c r="N29" s="2" t="n">
        <v>6522</v>
      </c>
      <c r="O29" s="2" t="n">
        <v>27340.51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2854.95</v>
      </c>
      <c r="G32" s="2" t="n">
        <v>2854.95</v>
      </c>
      <c r="H32" s="2" t="n">
        <v>2854.95</v>
      </c>
      <c r="I32" s="2" t="n">
        <v>2854.95</v>
      </c>
      <c r="J32" s="2" t="n">
        <v>2854.95</v>
      </c>
      <c r="K32" s="2" t="n">
        <v>2854.95</v>
      </c>
      <c r="L32" s="2" t="n">
        <v>2854.95</v>
      </c>
      <c r="M32" s="2" t="n">
        <v>2854.95</v>
      </c>
      <c r="N32" s="2" t="n">
        <v>2854.95</v>
      </c>
      <c r="O32" s="2" t="n">
        <v>2854.95</v>
      </c>
      <c r="AE32" s="10">
        <f>SUM(C32:AD32)</f>
        <v/>
      </c>
    </row>
    <row r="33">
      <c r="B33" t="inlineStr">
        <is>
          <t>Fringe 5990</t>
        </is>
      </c>
      <c r="F33" s="2" t="n">
        <v>1187.09</v>
      </c>
      <c r="G33" s="2" t="n">
        <v>1187.09</v>
      </c>
      <c r="H33" s="2" t="n">
        <v>1187.09</v>
      </c>
      <c r="I33" s="2" t="n">
        <v>1187.09</v>
      </c>
      <c r="J33" s="2" t="n">
        <v>1187.09</v>
      </c>
      <c r="K33" s="2" t="n">
        <v>1187.09</v>
      </c>
      <c r="L33" s="2" t="n">
        <v>1187.09</v>
      </c>
      <c r="M33" s="2" t="n">
        <v>1187.09</v>
      </c>
      <c r="N33" s="2" t="n">
        <v>1187.09</v>
      </c>
      <c r="O33" s="2" t="n">
        <v>1187.09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45000</v>
      </c>
      <c r="G35" s="2" t="n">
        <v>45000</v>
      </c>
      <c r="H35" s="2" t="n">
        <v>45000</v>
      </c>
      <c r="I35" s="2" t="n">
        <v>45000</v>
      </c>
      <c r="J35" s="2" t="n">
        <v>45000</v>
      </c>
      <c r="K35" s="2" t="n">
        <v>45000</v>
      </c>
      <c r="L35" s="2" t="n">
        <v>45000</v>
      </c>
      <c r="M35" s="2" t="n">
        <v>45000</v>
      </c>
      <c r="N35" s="2" t="n">
        <v>45000</v>
      </c>
      <c r="O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957.96</v>
      </c>
      <c r="G43" s="2" t="n">
        <v>957.96</v>
      </c>
      <c r="H43" s="2" t="n">
        <v>957.96</v>
      </c>
      <c r="I43" s="2" t="n">
        <v>957.96</v>
      </c>
      <c r="J43" s="2" t="n">
        <v>957.96</v>
      </c>
      <c r="K43" s="2" t="n">
        <v>957.96</v>
      </c>
      <c r="L43" s="2" t="n">
        <v>957.96</v>
      </c>
      <c r="M43" s="2" t="n">
        <v>957.96</v>
      </c>
      <c r="N43" s="2" t="n">
        <v>957.96</v>
      </c>
      <c r="O43" s="2" t="n">
        <v>957.96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500000</v>
      </c>
      <c r="AE45" s="10">
        <f>SUM(C45:AD45)</f>
        <v/>
      </c>
    </row>
    <row r="46">
      <c r="B46" t="inlineStr">
        <is>
          <t>Obligated</t>
        </is>
      </c>
      <c r="F46" s="2" t="n">
        <v>500000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2ADP014</t>
        </is>
      </c>
    </row>
    <row r="4">
      <c r="A4" s="1" t="inlineStr">
        <is>
          <t>ROLLUP #</t>
        </is>
      </c>
      <c r="B4" t="inlineStr">
        <is>
          <t>713065</t>
        </is>
      </c>
    </row>
    <row r="5">
      <c r="A5" s="1" t="inlineStr">
        <is>
          <t>PROJECT NAME</t>
        </is>
      </c>
      <c r="B5" t="inlineStr">
        <is>
          <t>Development nd Assessment of Affordably Mass Production of Flexible RF Countermeasure Materials</t>
        </is>
      </c>
    </row>
    <row r="6">
      <c r="A6" s="1" t="inlineStr">
        <is>
          <t>TECHNICAL POINT OF CONTACT</t>
        </is>
      </c>
      <c r="B6" t="inlineStr">
        <is>
          <t>James Zunino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268.27</v>
      </c>
      <c r="N18" s="2" t="n">
        <v>599.29</v>
      </c>
      <c r="O18" s="2" t="n">
        <v>3639.1</v>
      </c>
      <c r="P18" s="2" t="n">
        <v>1122.26</v>
      </c>
      <c r="Q18" s="2" t="n">
        <v>1663.22</v>
      </c>
      <c r="R18" s="2" t="n">
        <v>1901.15</v>
      </c>
      <c r="S18" s="2" t="n">
        <v>4605.38</v>
      </c>
      <c r="T18" s="2" t="n">
        <v>4444.76</v>
      </c>
      <c r="U18" s="2" t="n">
        <v>5216.5</v>
      </c>
      <c r="V18" s="2" t="n">
        <v>26336.35</v>
      </c>
      <c r="AE18" s="10">
        <f>SUM(C18:AD18)</f>
        <v/>
      </c>
    </row>
    <row r="19">
      <c r="B19" t="inlineStr">
        <is>
          <t>Fringe 5990</t>
        </is>
      </c>
      <c r="J19" s="2" t="n">
        <v>105.89</v>
      </c>
      <c r="N19" s="2" t="n">
        <v>257.22</v>
      </c>
      <c r="O19" s="2" t="n">
        <v>1647.79</v>
      </c>
      <c r="P19" s="2" t="n">
        <v>508.16</v>
      </c>
      <c r="Q19" s="2" t="n">
        <v>753.1</v>
      </c>
      <c r="R19" s="2" t="n">
        <v>860.84</v>
      </c>
      <c r="S19" s="2" t="n">
        <v>2085.32</v>
      </c>
      <c r="T19" s="2" t="n">
        <v>2267.81</v>
      </c>
      <c r="U19" s="2" t="n">
        <v>2509.13</v>
      </c>
      <c r="V19" s="2" t="n">
        <v>12667.79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288366.23</v>
      </c>
      <c r="P21" s="2" t="n">
        <v>14323.54</v>
      </c>
      <c r="Q21" s="2" t="n">
        <v>3210.59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117</v>
      </c>
      <c r="S25" s="2" t="n">
        <v>41.76</v>
      </c>
      <c r="T25" s="2" t="n">
        <v>56.82</v>
      </c>
      <c r="U25" s="2" t="n">
        <v>185.43</v>
      </c>
      <c r="W25" s="2" t="n">
        <v>243.31</v>
      </c>
      <c r="AE25" s="10">
        <f>SUM(C25:AD25)</f>
        <v/>
      </c>
    </row>
    <row r="26">
      <c r="B26" t="inlineStr">
        <is>
          <t>Material 5003</t>
        </is>
      </c>
      <c r="O26" s="2" t="n">
        <v>1799.12</v>
      </c>
      <c r="T26" s="2" t="n">
        <v>2490.88</v>
      </c>
      <c r="U26" s="2" t="n">
        <v>104.45</v>
      </c>
      <c r="V26" s="2" t="n">
        <v>1169.41</v>
      </c>
      <c r="W26" s="2" t="n">
        <v>2975.67</v>
      </c>
      <c r="Y26" s="2" t="n">
        <v>-336.96</v>
      </c>
      <c r="AE26" s="10">
        <f>SUM(C26:AD26)</f>
        <v/>
      </c>
    </row>
    <row r="27">
      <c r="B27" t="inlineStr">
        <is>
          <t>Sub K Overhead 5992</t>
        </is>
      </c>
      <c r="N27" s="2" t="n">
        <v>7555.2</v>
      </c>
      <c r="P27" s="2" t="n">
        <v>405.36</v>
      </c>
      <c r="Q27" s="2" t="n">
        <v>90.86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202.27</v>
      </c>
      <c r="N29" s="2" t="n">
        <v>1106.08</v>
      </c>
      <c r="O29" s="2" t="n">
        <v>10424.18</v>
      </c>
      <c r="P29" s="2" t="n">
        <v>2359.53</v>
      </c>
      <c r="Q29" s="2" t="n">
        <v>3496.91</v>
      </c>
      <c r="R29" s="2" t="n">
        <v>3997.16</v>
      </c>
      <c r="S29" s="2" t="n">
        <v>9743.18</v>
      </c>
      <c r="T29" s="2" t="n">
        <v>11269.62</v>
      </c>
      <c r="U29" s="2" t="n">
        <v>10531.58</v>
      </c>
      <c r="V29" s="2" t="n">
        <v>52784.02</v>
      </c>
      <c r="W29" s="2" t="n">
        <v>4274.48</v>
      </c>
      <c r="Y29" s="2" t="n">
        <v>-447.45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4033.49</v>
      </c>
      <c r="G32" s="2" t="n">
        <v>4033.49</v>
      </c>
      <c r="H32" s="2" t="n">
        <v>4033.49</v>
      </c>
      <c r="I32" s="2" t="n">
        <v>4033.49</v>
      </c>
      <c r="J32" s="2" t="n">
        <v>4033.49</v>
      </c>
      <c r="K32" s="2" t="n">
        <v>4033.49</v>
      </c>
      <c r="L32" s="2" t="n">
        <v>4033.49</v>
      </c>
      <c r="M32" s="2" t="n">
        <v>4033.49</v>
      </c>
      <c r="N32" s="2" t="n">
        <v>4033.49</v>
      </c>
      <c r="O32" s="2" t="n">
        <v>4033.49</v>
      </c>
      <c r="P32" s="2" t="n">
        <v>4033.49</v>
      </c>
      <c r="Q32" s="2" t="n">
        <v>4033.49</v>
      </c>
      <c r="R32" s="2" t="n">
        <v>4033.49</v>
      </c>
      <c r="S32" s="2" t="n">
        <v>4033.49</v>
      </c>
      <c r="T32" s="2" t="n">
        <v>4033.49</v>
      </c>
      <c r="U32" s="2" t="n">
        <v>4033.49</v>
      </c>
      <c r="V32" s="2" t="n">
        <v>4033.49</v>
      </c>
      <c r="W32" s="2" t="n">
        <v>4033.49</v>
      </c>
      <c r="AE32" s="10">
        <f>SUM(C32:AD32)</f>
        <v/>
      </c>
    </row>
    <row r="33">
      <c r="B33" t="inlineStr">
        <is>
          <t>Fringe 5990</t>
        </is>
      </c>
      <c r="F33" s="2" t="n">
        <v>1592.02</v>
      </c>
      <c r="G33" s="2" t="n">
        <v>1592.02</v>
      </c>
      <c r="H33" s="2" t="n">
        <v>1592.02</v>
      </c>
      <c r="I33" s="2" t="n">
        <v>1592.02</v>
      </c>
      <c r="J33" s="2" t="n">
        <v>1592.02</v>
      </c>
      <c r="K33" s="2" t="n">
        <v>1592.02</v>
      </c>
      <c r="L33" s="2" t="n">
        <v>1592.02</v>
      </c>
      <c r="M33" s="2" t="n">
        <v>1592.02</v>
      </c>
      <c r="N33" s="2" t="n">
        <v>1592.02</v>
      </c>
      <c r="O33" s="2" t="n">
        <v>1592.02</v>
      </c>
      <c r="P33" s="2" t="n">
        <v>1592.02</v>
      </c>
      <c r="Q33" s="2" t="n">
        <v>1592.02</v>
      </c>
      <c r="R33" s="2" t="n">
        <v>1592.02</v>
      </c>
      <c r="S33" s="2" t="n">
        <v>1592.02</v>
      </c>
      <c r="T33" s="2" t="n">
        <v>1592.02</v>
      </c>
      <c r="U33" s="2" t="n">
        <v>1592.02</v>
      </c>
      <c r="V33" s="2" t="n">
        <v>1592.02</v>
      </c>
      <c r="W33" s="2" t="n">
        <v>1592.02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19444.44</v>
      </c>
      <c r="G35" s="2" t="n">
        <v>19444.44</v>
      </c>
      <c r="H35" s="2" t="n">
        <v>19444.44</v>
      </c>
      <c r="I35" s="2" t="n">
        <v>19444.44</v>
      </c>
      <c r="J35" s="2" t="n">
        <v>19444.44</v>
      </c>
      <c r="K35" s="2" t="n">
        <v>19444.44</v>
      </c>
      <c r="L35" s="2" t="n">
        <v>19444.44</v>
      </c>
      <c r="M35" s="2" t="n">
        <v>19444.44</v>
      </c>
      <c r="N35" s="2" t="n">
        <v>19444.44</v>
      </c>
      <c r="O35" s="2" t="n">
        <v>19444.44</v>
      </c>
      <c r="P35" s="2" t="n">
        <v>19444.44</v>
      </c>
      <c r="Q35" s="2" t="n">
        <v>19444.44</v>
      </c>
      <c r="R35" s="2" t="n">
        <v>19444.44</v>
      </c>
      <c r="S35" s="2" t="n">
        <v>19444.44</v>
      </c>
      <c r="T35" s="2" t="n">
        <v>19444.44</v>
      </c>
      <c r="U35" s="2" t="n">
        <v>19444.44</v>
      </c>
      <c r="V35" s="2" t="n">
        <v>19444.44</v>
      </c>
      <c r="W35" s="2" t="n">
        <v>19444.44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3041.15</v>
      </c>
      <c r="G43" s="2" t="n">
        <v>3041.15</v>
      </c>
      <c r="H43" s="2" t="n">
        <v>3041.15</v>
      </c>
      <c r="I43" s="2" t="n">
        <v>3041.15</v>
      </c>
      <c r="J43" s="2" t="n">
        <v>3041.15</v>
      </c>
      <c r="K43" s="2" t="n">
        <v>3041.15</v>
      </c>
      <c r="L43" s="2" t="n">
        <v>3041.15</v>
      </c>
      <c r="M43" s="2" t="n">
        <v>3041.15</v>
      </c>
      <c r="N43" s="2" t="n">
        <v>3041.15</v>
      </c>
      <c r="O43" s="2" t="n">
        <v>3041.15</v>
      </c>
      <c r="P43" s="2" t="n">
        <v>3041.15</v>
      </c>
      <c r="Q43" s="2" t="n">
        <v>3041.15</v>
      </c>
      <c r="R43" s="2" t="n">
        <v>3041.15</v>
      </c>
      <c r="S43" s="2" t="n">
        <v>3041.15</v>
      </c>
      <c r="T43" s="2" t="n">
        <v>3041.15</v>
      </c>
      <c r="U43" s="2" t="n">
        <v>3041.15</v>
      </c>
      <c r="V43" s="2" t="n">
        <v>3041.15</v>
      </c>
      <c r="W43" s="2" t="n">
        <v>3041.15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506000</v>
      </c>
      <c r="AE45" s="10">
        <f>SUM(C45:AD45)</f>
        <v/>
      </c>
    </row>
    <row r="46">
      <c r="B46" t="inlineStr">
        <is>
          <t>Obligated</t>
        </is>
      </c>
      <c r="G46" s="2" t="n">
        <v>506000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J47" s="2" t="n">
        <v>200000</v>
      </c>
      <c r="L47" s="2" t="n">
        <v>128000</v>
      </c>
      <c r="M47" s="2" t="n">
        <v>128000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2ADP015</t>
        </is>
      </c>
    </row>
    <row r="4">
      <c r="A4" s="1" t="inlineStr">
        <is>
          <t>ROLLUP #</t>
        </is>
      </c>
      <c r="B4" t="inlineStr">
        <is>
          <t>713066</t>
        </is>
      </c>
    </row>
    <row r="5">
      <c r="A5" s="1" t="inlineStr">
        <is>
          <t>PROJECT NAME</t>
        </is>
      </c>
      <c r="B5" t="inlineStr">
        <is>
          <t>NASIC Civilian Program in FME Technology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AK, AM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2050.36</v>
      </c>
      <c r="N18" s="2" t="n">
        <v>7176.23</v>
      </c>
      <c r="AE18" s="10">
        <f>SUM(C18:AD18)</f>
        <v/>
      </c>
    </row>
    <row r="19">
      <c r="B19" t="inlineStr">
        <is>
          <t>Fringe 5990</t>
        </is>
      </c>
      <c r="J19" s="2" t="n">
        <v>809.28</v>
      </c>
      <c r="N19" s="2" t="n">
        <v>3080.05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189520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1545.92</v>
      </c>
      <c r="N29" s="2" t="n">
        <v>13243.18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1029.32</v>
      </c>
      <c r="H32" s="2" t="n">
        <v>1029.32</v>
      </c>
      <c r="I32" s="2" t="n">
        <v>1029.32</v>
      </c>
      <c r="J32" s="2" t="n">
        <v>1029.32</v>
      </c>
      <c r="K32" s="2" t="n">
        <v>1029.32</v>
      </c>
      <c r="L32" s="2" t="n">
        <v>1029.32</v>
      </c>
      <c r="M32" s="2" t="n">
        <v>1029.32</v>
      </c>
      <c r="N32" s="2" t="n">
        <v>1029.32</v>
      </c>
      <c r="O32" s="2" t="n">
        <v>1029.32</v>
      </c>
      <c r="AE32" s="10">
        <f>SUM(C32:AD32)</f>
        <v/>
      </c>
    </row>
    <row r="33">
      <c r="B33" t="inlineStr">
        <is>
          <t>Fringe 5990</t>
        </is>
      </c>
      <c r="G33" s="2" t="n">
        <v>406.27</v>
      </c>
      <c r="H33" s="2" t="n">
        <v>406.27</v>
      </c>
      <c r="I33" s="2" t="n">
        <v>406.27</v>
      </c>
      <c r="J33" s="2" t="n">
        <v>406.27</v>
      </c>
      <c r="K33" s="2" t="n">
        <v>406.27</v>
      </c>
      <c r="L33" s="2" t="n">
        <v>406.27</v>
      </c>
      <c r="M33" s="2" t="n">
        <v>406.27</v>
      </c>
      <c r="N33" s="2" t="n">
        <v>406.27</v>
      </c>
      <c r="O33" s="2" t="n">
        <v>406.27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21946.67</v>
      </c>
      <c r="H35" s="2" t="n">
        <v>21946.67</v>
      </c>
      <c r="I35" s="2" t="n">
        <v>21946.67</v>
      </c>
      <c r="J35" s="2" t="n">
        <v>21946.67</v>
      </c>
      <c r="K35" s="2" t="n">
        <v>21946.67</v>
      </c>
      <c r="L35" s="2" t="n">
        <v>21946.67</v>
      </c>
      <c r="M35" s="2" t="n">
        <v>21946.67</v>
      </c>
      <c r="N35" s="2" t="n">
        <v>21946.67</v>
      </c>
      <c r="O35" s="2" t="n">
        <v>21946.67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776.08</v>
      </c>
      <c r="H43" s="2" t="n">
        <v>776.08</v>
      </c>
      <c r="I43" s="2" t="n">
        <v>776.08</v>
      </c>
      <c r="J43" s="2" t="n">
        <v>776.08</v>
      </c>
      <c r="K43" s="2" t="n">
        <v>776.08</v>
      </c>
      <c r="L43" s="2" t="n">
        <v>776.08</v>
      </c>
      <c r="M43" s="2" t="n">
        <v>776.08</v>
      </c>
      <c r="N43" s="2" t="n">
        <v>776.08</v>
      </c>
      <c r="O43" s="2" t="n">
        <v>776.08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217425</v>
      </c>
      <c r="AE45" s="10">
        <f>SUM(C45:AD45)</f>
        <v/>
      </c>
    </row>
    <row r="46">
      <c r="B46" t="inlineStr">
        <is>
          <t>Obligated</t>
        </is>
      </c>
      <c r="G46" s="2" t="n">
        <v>217425</v>
      </c>
      <c r="AE46" s="10">
        <f>SUM(C46:AD46)</f>
        <v/>
      </c>
    </row>
    <row r="47">
      <c r="B47" t="inlineStr">
        <is>
          <t>Expended</t>
        </is>
      </c>
      <c r="H47" s="2" t="n">
        <v>217425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2ADP016</t>
        </is>
      </c>
    </row>
    <row r="4">
      <c r="A4" s="1" t="inlineStr">
        <is>
          <t>ROLLUP #</t>
        </is>
      </c>
      <c r="B4" t="inlineStr">
        <is>
          <t>1016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Market Data nd Intitute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320.42</v>
      </c>
      <c r="N18" s="2" t="n">
        <v>3427.43</v>
      </c>
      <c r="O18" s="2" t="n">
        <v>1946.52</v>
      </c>
      <c r="U18" s="2" t="n">
        <v>603.99</v>
      </c>
      <c r="AE18" s="10">
        <f>SUM(C18:AD18)</f>
        <v/>
      </c>
    </row>
    <row r="19">
      <c r="B19" t="inlineStr">
        <is>
          <t>Fringe 5990</t>
        </is>
      </c>
      <c r="J19" s="2" t="n">
        <v>126.47</v>
      </c>
      <c r="N19" s="2" t="n">
        <v>1471.06</v>
      </c>
      <c r="O19" s="2" t="n">
        <v>881.38</v>
      </c>
      <c r="U19" s="2" t="n">
        <v>290.52</v>
      </c>
      <c r="AE19" s="10">
        <f>SUM(C19:AD19)</f>
        <v/>
      </c>
    </row>
    <row r="20">
      <c r="B20" t="inlineStr">
        <is>
          <t>Travel 5004</t>
        </is>
      </c>
      <c r="O20" s="2" t="n">
        <v>1156.46</v>
      </c>
      <c r="AE20" s="10">
        <f>SUM(C20:AD20)</f>
        <v/>
      </c>
    </row>
    <row r="21">
      <c r="B21" t="inlineStr">
        <is>
          <t>Subcontracting 5005</t>
        </is>
      </c>
      <c r="J21" s="2" t="n">
        <v>75.31999999999999</v>
      </c>
      <c r="N21" s="2" t="n">
        <v>123941.4</v>
      </c>
      <c r="O21" s="2" t="n">
        <v>1634.24</v>
      </c>
      <c r="P21" s="2" t="n">
        <v>1634.23</v>
      </c>
      <c r="Q21" s="2" t="n">
        <v>14895.86</v>
      </c>
      <c r="AE21" s="10">
        <f>SUM(C21:AD21)</f>
        <v/>
      </c>
    </row>
    <row r="22">
      <c r="B22" t="inlineStr">
        <is>
          <t>Consulting 5002</t>
        </is>
      </c>
      <c r="N22" s="2" t="n">
        <v>2412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3044.82</v>
      </c>
      <c r="O27" s="2" t="n">
        <v>46.25</v>
      </c>
      <c r="P27" s="2" t="n">
        <v>46.25</v>
      </c>
      <c r="Q27" s="2" t="n">
        <v>421.55</v>
      </c>
      <c r="AE27" s="10">
        <f>SUM(C27:AD27)</f>
        <v/>
      </c>
    </row>
    <row r="28">
      <c r="B28" t="inlineStr">
        <is>
          <t>Sub K Overhead 5993</t>
        </is>
      </c>
      <c r="O28" s="2" t="n">
        <v>2474.29</v>
      </c>
      <c r="P28" s="2" t="n">
        <v>-2474.29</v>
      </c>
      <c r="AE28" s="10">
        <f>SUM(C28:AD28)</f>
        <v/>
      </c>
    </row>
    <row r="29">
      <c r="B29" t="inlineStr">
        <is>
          <t>G&amp;A 5991</t>
        </is>
      </c>
      <c r="J29" s="2" t="n">
        <v>241.59</v>
      </c>
      <c r="N29" s="2" t="n">
        <v>9440.75</v>
      </c>
      <c r="P29" s="2" t="n">
        <v>5766.18</v>
      </c>
      <c r="U29" s="2" t="n">
        <v>1175.3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869.16</v>
      </c>
      <c r="I32" s="2" t="n">
        <v>869.16</v>
      </c>
      <c r="J32" s="2" t="n">
        <v>869.16</v>
      </c>
      <c r="K32" s="2" t="n">
        <v>869.16</v>
      </c>
      <c r="L32" s="2" t="n">
        <v>869.16</v>
      </c>
      <c r="M32" s="2" t="n">
        <v>869.16</v>
      </c>
      <c r="N32" s="2" t="n">
        <v>869.16</v>
      </c>
      <c r="O32" s="2" t="n">
        <v>869.16</v>
      </c>
      <c r="P32" s="2" t="n">
        <v>869.16</v>
      </c>
      <c r="Q32" s="2" t="n">
        <v>869.16</v>
      </c>
      <c r="R32" s="2" t="n">
        <v>869.16</v>
      </c>
      <c r="S32" s="2" t="n">
        <v>869.16</v>
      </c>
      <c r="T32" s="2" t="n">
        <v>869.16</v>
      </c>
      <c r="AE32" s="10">
        <f>SUM(C32:AD32)</f>
        <v/>
      </c>
    </row>
    <row r="33">
      <c r="B33" t="inlineStr">
        <is>
          <t>Fringe 5990</t>
        </is>
      </c>
      <c r="H33" s="2" t="n">
        <v>343.06</v>
      </c>
      <c r="I33" s="2" t="n">
        <v>343.06</v>
      </c>
      <c r="J33" s="2" t="n">
        <v>343.06</v>
      </c>
      <c r="K33" s="2" t="n">
        <v>343.06</v>
      </c>
      <c r="L33" s="2" t="n">
        <v>343.06</v>
      </c>
      <c r="M33" s="2" t="n">
        <v>343.06</v>
      </c>
      <c r="N33" s="2" t="n">
        <v>343.06</v>
      </c>
      <c r="O33" s="2" t="n">
        <v>343.06</v>
      </c>
      <c r="P33" s="2" t="n">
        <v>343.06</v>
      </c>
      <c r="Q33" s="2" t="n">
        <v>343.06</v>
      </c>
      <c r="R33" s="2" t="n">
        <v>343.06</v>
      </c>
      <c r="S33" s="2" t="n">
        <v>343.06</v>
      </c>
      <c r="T33" s="2" t="n">
        <v>343.06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14681.4</v>
      </c>
      <c r="O35" s="2" t="n">
        <v>44044.2</v>
      </c>
      <c r="P35" s="2" t="n">
        <v>44044.2</v>
      </c>
      <c r="Q35" s="2" t="n">
        <v>44044.2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390.8</v>
      </c>
      <c r="O41" s="2" t="n">
        <v>1172.4</v>
      </c>
      <c r="P41" s="2" t="n">
        <v>1172.4</v>
      </c>
      <c r="Q41" s="2" t="n">
        <v>1172.4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655.3200000000001</v>
      </c>
      <c r="I43" s="2" t="n">
        <v>655.3200000000001</v>
      </c>
      <c r="J43" s="2" t="n">
        <v>655.3200000000001</v>
      </c>
      <c r="K43" s="2" t="n">
        <v>655.3200000000001</v>
      </c>
      <c r="L43" s="2" t="n">
        <v>655.3200000000001</v>
      </c>
      <c r="M43" s="2" t="n">
        <v>655.3200000000001</v>
      </c>
      <c r="N43" s="2" t="n">
        <v>655.3200000000001</v>
      </c>
      <c r="O43" s="2" t="n">
        <v>655.3200000000001</v>
      </c>
      <c r="P43" s="2" t="n">
        <v>655.3200000000001</v>
      </c>
      <c r="Q43" s="2" t="n">
        <v>655.3200000000001</v>
      </c>
      <c r="R43" s="2" t="n">
        <v>655.3200000000001</v>
      </c>
      <c r="S43" s="2" t="n">
        <v>655.3200000000001</v>
      </c>
      <c r="T43" s="2" t="n">
        <v>655.3200000000001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175000</v>
      </c>
      <c r="AE45" s="10">
        <f>SUM(C45:AD45)</f>
        <v/>
      </c>
    </row>
    <row r="46">
      <c r="B46" t="inlineStr">
        <is>
          <t>Obligated</t>
        </is>
      </c>
      <c r="H46" s="2" t="n">
        <v>175000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L47" s="2" t="n">
        <v>50000</v>
      </c>
      <c r="M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2ADP017</t>
        </is>
      </c>
    </row>
    <row r="4">
      <c r="A4" s="1" t="inlineStr">
        <is>
          <t>ROLLUP #</t>
        </is>
      </c>
      <c r="B4" t="inlineStr">
        <is>
          <t>713063</t>
        </is>
      </c>
    </row>
    <row r="5">
      <c r="A5" s="1" t="inlineStr">
        <is>
          <t>PROJECT NAME</t>
        </is>
      </c>
      <c r="B5" t="inlineStr">
        <is>
          <t>Advanced Hybrid Electronics Packaging and Thermal Management Follow 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58510.9</v>
      </c>
      <c r="N18" s="2" t="n">
        <v>206111.09</v>
      </c>
      <c r="O18" s="2" t="n">
        <v>22547.45</v>
      </c>
      <c r="P18" s="2" t="n">
        <v>50963.96</v>
      </c>
      <c r="Q18" s="2" t="n">
        <v>43137.33</v>
      </c>
      <c r="R18" s="2" t="n">
        <v>41995.43</v>
      </c>
      <c r="S18" s="2" t="n">
        <v>26329.05</v>
      </c>
      <c r="T18" s="2" t="n">
        <v>10957.67</v>
      </c>
      <c r="U18" s="2" t="n">
        <v>34593.77</v>
      </c>
      <c r="V18" s="2" t="n">
        <v>30881.29</v>
      </c>
      <c r="W18" s="2" t="n">
        <v>7961.32</v>
      </c>
      <c r="X18" s="2" t="n">
        <v>10947.18</v>
      </c>
      <c r="Z18" s="2" t="n">
        <v>2025.81</v>
      </c>
      <c r="AA18" s="2" t="n">
        <v>3346.8</v>
      </c>
      <c r="AB18" s="2" t="n">
        <v>3414.18</v>
      </c>
      <c r="AE18" s="10">
        <f>SUM(C18:AD18)</f>
        <v/>
      </c>
    </row>
    <row r="19">
      <c r="B19" t="inlineStr">
        <is>
          <t>Fringe 5990</t>
        </is>
      </c>
      <c r="J19" s="2" t="n">
        <v>23094.25</v>
      </c>
      <c r="N19" s="2" t="n">
        <v>88462.88</v>
      </c>
      <c r="O19" s="2" t="n">
        <v>10209.48</v>
      </c>
      <c r="P19" s="2" t="n">
        <v>23076.48</v>
      </c>
      <c r="Q19" s="2" t="n">
        <v>19532.59</v>
      </c>
      <c r="R19" s="2" t="n">
        <v>19015.54</v>
      </c>
      <c r="S19" s="2" t="n">
        <v>11921.79</v>
      </c>
      <c r="T19" s="2" t="n">
        <v>6013.12</v>
      </c>
      <c r="U19" s="2" t="n">
        <v>16639.6</v>
      </c>
      <c r="V19" s="2" t="n">
        <v>14853.9</v>
      </c>
      <c r="W19" s="2" t="n">
        <v>4001.36</v>
      </c>
      <c r="X19" s="2" t="n">
        <v>5502.05</v>
      </c>
      <c r="Z19" s="2" t="n">
        <v>1018.18</v>
      </c>
      <c r="AA19" s="2" t="n">
        <v>1811.62</v>
      </c>
      <c r="AB19" s="2" t="n">
        <v>1848.01</v>
      </c>
      <c r="AE19" s="10">
        <f>SUM(C19:AD19)</f>
        <v/>
      </c>
    </row>
    <row r="20">
      <c r="B20" t="inlineStr">
        <is>
          <t>Travel 5004</t>
        </is>
      </c>
      <c r="N20" s="2" t="n">
        <v>3129.55</v>
      </c>
      <c r="AE20" s="10">
        <f>SUM(C20:AD20)</f>
        <v/>
      </c>
    </row>
    <row r="21">
      <c r="B21" t="inlineStr">
        <is>
          <t>Subcontracting 5005</t>
        </is>
      </c>
      <c r="J21" s="2" t="n">
        <v>262667.02</v>
      </c>
      <c r="N21" s="2" t="n">
        <v>617018.51</v>
      </c>
      <c r="O21" s="2" t="n">
        <v>-2166.39</v>
      </c>
      <c r="P21" s="2" t="n">
        <v>117925.42</v>
      </c>
      <c r="Q21" s="2" t="n">
        <v>87809.89999999999</v>
      </c>
      <c r="R21" s="2" t="n">
        <v>426034.22</v>
      </c>
      <c r="S21" s="2" t="n">
        <v>65500</v>
      </c>
      <c r="T21" s="2" t="n">
        <v>121526.81</v>
      </c>
      <c r="U21" s="2" t="n">
        <v>534309.73</v>
      </c>
      <c r="V21" s="2" t="n">
        <v>-338346.89</v>
      </c>
      <c r="Z21" s="2" t="n">
        <v>67878.02</v>
      </c>
      <c r="AE21" s="10">
        <f>SUM(C21:AD21)</f>
        <v/>
      </c>
    </row>
    <row r="22">
      <c r="B22" t="inlineStr">
        <is>
          <t>Consulting 5002</t>
        </is>
      </c>
      <c r="J22" s="2" t="n">
        <v>38940</v>
      </c>
      <c r="N22" s="2" t="n">
        <v>209440</v>
      </c>
      <c r="O22" s="2" t="n">
        <v>25200</v>
      </c>
      <c r="AE22" s="10">
        <f>SUM(C22:AD22)</f>
        <v/>
      </c>
    </row>
    <row r="23">
      <c r="B23" t="inlineStr">
        <is>
          <t>Equipment 5010</t>
        </is>
      </c>
      <c r="U23" s="2" t="n">
        <v>2080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40652</v>
      </c>
      <c r="O25" s="2" t="n">
        <v>7923.29</v>
      </c>
      <c r="P25" s="2" t="n">
        <v>1900</v>
      </c>
      <c r="Q25" s="2" t="n">
        <v>17586.79</v>
      </c>
      <c r="R25" s="2" t="n">
        <v>6330.8</v>
      </c>
      <c r="S25" s="2" t="n">
        <v>3708.79</v>
      </c>
      <c r="T25" s="2" t="n">
        <v>684.41</v>
      </c>
      <c r="U25" s="2" t="n">
        <v>319.75</v>
      </c>
      <c r="V25" s="2" t="n">
        <v>909.5700000000001</v>
      </c>
      <c r="Z25" s="2" t="n">
        <v>16.77</v>
      </c>
      <c r="AE25" s="10">
        <f>SUM(C25:AD25)</f>
        <v/>
      </c>
    </row>
    <row r="26">
      <c r="B26" t="inlineStr">
        <is>
          <t>Material 5003</t>
        </is>
      </c>
      <c r="J26" s="2" t="n">
        <v>3441.72</v>
      </c>
      <c r="N26" s="2" t="n">
        <v>8677.49</v>
      </c>
      <c r="O26" s="2" t="n">
        <v>12467.27</v>
      </c>
      <c r="P26" s="2" t="n">
        <v>1035.12</v>
      </c>
      <c r="Q26" s="2" t="n">
        <v>2370.89</v>
      </c>
      <c r="R26" s="2" t="n">
        <v>5921.67</v>
      </c>
      <c r="S26" s="2" t="n">
        <v>4014.21</v>
      </c>
      <c r="T26" s="2" t="n">
        <v>7839.05</v>
      </c>
      <c r="U26" s="2" t="n">
        <v>12639.54</v>
      </c>
      <c r="V26" s="2" t="n">
        <v>169.13</v>
      </c>
      <c r="AE26" s="10">
        <f>SUM(C26:AD26)</f>
        <v/>
      </c>
    </row>
    <row r="27">
      <c r="B27" t="inlineStr">
        <is>
          <t>Sub K Overhead 5992</t>
        </is>
      </c>
      <c r="N27" s="2" t="n">
        <v>16165.89</v>
      </c>
      <c r="O27" s="2" t="n">
        <v>-61.31</v>
      </c>
      <c r="P27" s="2" t="n">
        <v>3337.29</v>
      </c>
      <c r="Q27" s="2" t="n">
        <v>2485.02</v>
      </c>
      <c r="R27" s="2" t="n">
        <v>12056.77</v>
      </c>
      <c r="S27" s="2" t="n">
        <v>1853.65</v>
      </c>
      <c r="T27" s="2" t="n">
        <v>3869.37</v>
      </c>
      <c r="U27" s="2" t="n">
        <v>16349.87</v>
      </c>
      <c r="V27" s="2" t="n">
        <v>-10353.41</v>
      </c>
      <c r="Z27" s="2" t="n">
        <v>1988.83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67575.71000000001</v>
      </c>
      <c r="N29" s="2" t="n">
        <v>718629.26</v>
      </c>
      <c r="O29" s="2" t="n">
        <v>131214</v>
      </c>
      <c r="P29" s="2" t="n">
        <v>111399.04</v>
      </c>
      <c r="Q29" s="2" t="n">
        <v>119578.65</v>
      </c>
      <c r="R29" s="2" t="n">
        <v>106026.84</v>
      </c>
      <c r="S29" s="2" t="n">
        <v>66533.33</v>
      </c>
      <c r="T29" s="2" t="n">
        <v>27368.59</v>
      </c>
      <c r="U29" s="2" t="n">
        <v>84342.74000000001</v>
      </c>
      <c r="V29" s="2" t="n">
        <v>61508.77</v>
      </c>
      <c r="W29" s="2" t="n">
        <v>15885.25</v>
      </c>
      <c r="X29" s="2" t="n">
        <v>21842.93</v>
      </c>
      <c r="Z29" s="2" t="n">
        <v>4064.38</v>
      </c>
      <c r="AA29" s="2" t="n">
        <v>7028.87</v>
      </c>
      <c r="AB29" s="2" t="n">
        <v>7170.04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56536.36</v>
      </c>
      <c r="H32" s="2" t="n">
        <v>56536.36</v>
      </c>
      <c r="I32" s="2" t="n">
        <v>56536.36</v>
      </c>
      <c r="J32" s="2" t="n">
        <v>56536.36</v>
      </c>
      <c r="K32" s="2" t="n">
        <v>56536.36</v>
      </c>
      <c r="L32" s="2" t="n">
        <v>56536.36</v>
      </c>
      <c r="M32" s="2" t="n">
        <v>56536.36</v>
      </c>
      <c r="N32" s="2" t="n">
        <v>56536.36</v>
      </c>
      <c r="O32" s="2" t="n">
        <v>56536.36</v>
      </c>
      <c r="P32" s="2" t="n">
        <v>56536.36</v>
      </c>
      <c r="Q32" s="2" t="n">
        <v>56536.36</v>
      </c>
      <c r="R32" s="2" t="n">
        <v>56536.36</v>
      </c>
      <c r="S32" s="2" t="n">
        <v>56536.36</v>
      </c>
      <c r="T32" s="2" t="n">
        <v>56536.36</v>
      </c>
      <c r="U32" s="2" t="n">
        <v>56536.36</v>
      </c>
      <c r="V32" s="2" t="n">
        <v>56536.36</v>
      </c>
      <c r="W32" s="2" t="n">
        <v>56536.36</v>
      </c>
      <c r="X32" s="2" t="n">
        <v>56536.36</v>
      </c>
      <c r="Y32" s="2" t="n">
        <v>56536.36</v>
      </c>
      <c r="Z32" s="2" t="n">
        <v>56536.36</v>
      </c>
      <c r="AA32" s="2" t="n">
        <v>56536.36</v>
      </c>
      <c r="AB32" s="2" t="n">
        <v>56536.36</v>
      </c>
      <c r="AC32" s="2" t="n">
        <v>56536.36</v>
      </c>
      <c r="AE32" s="10">
        <f>SUM(C32:AD32)</f>
        <v/>
      </c>
    </row>
    <row r="33">
      <c r="B33" t="inlineStr">
        <is>
          <t>Fringe 5990</t>
        </is>
      </c>
      <c r="G33" s="2" t="n">
        <v>22314.9</v>
      </c>
      <c r="H33" s="2" t="n">
        <v>22314.9</v>
      </c>
      <c r="I33" s="2" t="n">
        <v>22314.9</v>
      </c>
      <c r="J33" s="2" t="n">
        <v>22314.9</v>
      </c>
      <c r="K33" s="2" t="n">
        <v>22314.9</v>
      </c>
      <c r="L33" s="2" t="n">
        <v>22314.9</v>
      </c>
      <c r="M33" s="2" t="n">
        <v>22314.9</v>
      </c>
      <c r="N33" s="2" t="n">
        <v>22314.9</v>
      </c>
      <c r="O33" s="2" t="n">
        <v>22314.9</v>
      </c>
      <c r="P33" s="2" t="n">
        <v>22314.9</v>
      </c>
      <c r="Q33" s="2" t="n">
        <v>22314.9</v>
      </c>
      <c r="R33" s="2" t="n">
        <v>22314.9</v>
      </c>
      <c r="S33" s="2" t="n">
        <v>22314.9</v>
      </c>
      <c r="T33" s="2" t="n">
        <v>22314.9</v>
      </c>
      <c r="U33" s="2" t="n">
        <v>22314.9</v>
      </c>
      <c r="V33" s="2" t="n">
        <v>22314.9</v>
      </c>
      <c r="W33" s="2" t="n">
        <v>22314.9</v>
      </c>
      <c r="X33" s="2" t="n">
        <v>22314.9</v>
      </c>
      <c r="Y33" s="2" t="n">
        <v>22314.9</v>
      </c>
      <c r="Z33" s="2" t="n">
        <v>22314.9</v>
      </c>
      <c r="AA33" s="2" t="n">
        <v>22314.9</v>
      </c>
      <c r="AB33" s="2" t="n">
        <v>22314.9</v>
      </c>
      <c r="AC33" s="2" t="n">
        <v>22314.9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109565.22</v>
      </c>
      <c r="H35" s="2" t="n">
        <v>109565.22</v>
      </c>
      <c r="I35" s="2" t="n">
        <v>109565.22</v>
      </c>
      <c r="J35" s="2" t="n">
        <v>109565.22</v>
      </c>
      <c r="K35" s="2" t="n">
        <v>109565.22</v>
      </c>
      <c r="L35" s="2" t="n">
        <v>109565.22</v>
      </c>
      <c r="M35" s="2" t="n">
        <v>109565.22</v>
      </c>
      <c r="N35" s="2" t="n">
        <v>109565.22</v>
      </c>
      <c r="O35" s="2" t="n">
        <v>109565.22</v>
      </c>
      <c r="P35" s="2" t="n">
        <v>109565.22</v>
      </c>
      <c r="Q35" s="2" t="n">
        <v>109565.22</v>
      </c>
      <c r="R35" s="2" t="n">
        <v>109565.22</v>
      </c>
      <c r="S35" s="2" t="n">
        <v>109565.22</v>
      </c>
      <c r="T35" s="2" t="n">
        <v>109565.22</v>
      </c>
      <c r="U35" s="2" t="n">
        <v>109565.22</v>
      </c>
      <c r="V35" s="2" t="n">
        <v>109565.22</v>
      </c>
      <c r="W35" s="2" t="n">
        <v>109565.22</v>
      </c>
      <c r="X35" s="2" t="n">
        <v>109565.22</v>
      </c>
      <c r="Y35" s="2" t="n">
        <v>109565.22</v>
      </c>
      <c r="Z35" s="2" t="n">
        <v>109565.22</v>
      </c>
      <c r="AA35" s="2" t="n">
        <v>109565.22</v>
      </c>
      <c r="AB35" s="2" t="n">
        <v>109565.22</v>
      </c>
      <c r="AC35" s="2" t="n">
        <v>109565.22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42626.99</v>
      </c>
      <c r="H43" s="2" t="n">
        <v>42626.99</v>
      </c>
      <c r="I43" s="2" t="n">
        <v>42626.99</v>
      </c>
      <c r="J43" s="2" t="n">
        <v>42626.99</v>
      </c>
      <c r="K43" s="2" t="n">
        <v>42626.99</v>
      </c>
      <c r="L43" s="2" t="n">
        <v>42626.99</v>
      </c>
      <c r="M43" s="2" t="n">
        <v>42626.99</v>
      </c>
      <c r="N43" s="2" t="n">
        <v>42626.99</v>
      </c>
      <c r="O43" s="2" t="n">
        <v>42626.99</v>
      </c>
      <c r="P43" s="2" t="n">
        <v>42626.99</v>
      </c>
      <c r="Q43" s="2" t="n">
        <v>42626.99</v>
      </c>
      <c r="R43" s="2" t="n">
        <v>42626.99</v>
      </c>
      <c r="S43" s="2" t="n">
        <v>42626.99</v>
      </c>
      <c r="T43" s="2" t="n">
        <v>42626.99</v>
      </c>
      <c r="U43" s="2" t="n">
        <v>42626.99</v>
      </c>
      <c r="V43" s="2" t="n">
        <v>42626.99</v>
      </c>
      <c r="W43" s="2" t="n">
        <v>42626.99</v>
      </c>
      <c r="X43" s="2" t="n">
        <v>42626.99</v>
      </c>
      <c r="Y43" s="2" t="n">
        <v>42626.99</v>
      </c>
      <c r="Z43" s="2" t="n">
        <v>42626.99</v>
      </c>
      <c r="AA43" s="2" t="n">
        <v>42626.99</v>
      </c>
      <c r="AB43" s="2" t="n">
        <v>42626.99</v>
      </c>
      <c r="AC43" s="2" t="n">
        <v>42626.99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5314000</v>
      </c>
      <c r="AE45" s="10">
        <f>SUM(C45:AD45)</f>
        <v/>
      </c>
    </row>
    <row r="46">
      <c r="B46" t="inlineStr">
        <is>
          <t>Obligated</t>
        </is>
      </c>
      <c r="G46" s="2" t="n">
        <v>5314000</v>
      </c>
      <c r="AE46" s="10">
        <f>SUM(C46:AD46)</f>
        <v/>
      </c>
    </row>
    <row r="47">
      <c r="B47" t="inlineStr">
        <is>
          <t>Expended</t>
        </is>
      </c>
      <c r="H47" s="2" t="n">
        <v>961000</v>
      </c>
      <c r="J47" s="2" t="n">
        <v>1500000</v>
      </c>
      <c r="L47" s="2" t="n">
        <v>713250</v>
      </c>
      <c r="N47" s="2" t="n">
        <v>715000</v>
      </c>
      <c r="O47" s="2" t="n">
        <v>712375</v>
      </c>
      <c r="P47" s="2" t="n">
        <v>712375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2ADP018</t>
        </is>
      </c>
    </row>
    <row r="4">
      <c r="A4" s="1" t="inlineStr">
        <is>
          <t>ROLLUP #</t>
        </is>
      </c>
      <c r="B4" t="inlineStr">
        <is>
          <t>713067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Morgan Plummer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AN, AP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30971.54</v>
      </c>
      <c r="N18" s="2" t="n">
        <v>-20292.19</v>
      </c>
      <c r="AE18" s="10">
        <f>SUM(C18:AD18)</f>
        <v/>
      </c>
    </row>
    <row r="19">
      <c r="B19" t="inlineStr">
        <is>
          <t>Fringe 5990</t>
        </is>
      </c>
      <c r="J19" s="2" t="n">
        <v>12224.47</v>
      </c>
      <c r="N19" s="2" t="n">
        <v>-8709.41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1624373</v>
      </c>
      <c r="AE21" s="10">
        <f>SUM(C21:AD21)</f>
        <v/>
      </c>
    </row>
    <row r="22">
      <c r="B22" t="inlineStr">
        <is>
          <t>Consulting 5002</t>
        </is>
      </c>
      <c r="J22" s="2" t="n">
        <v>7523.7</v>
      </c>
      <c r="N22" s="2" t="n">
        <v>49726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27419.07</v>
      </c>
      <c r="N29" s="2" t="n">
        <v>26763.83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25505.72</v>
      </c>
      <c r="H32" s="2" t="n">
        <v>25505.72</v>
      </c>
      <c r="AE32" s="10">
        <f>SUM(C32:AD32)</f>
        <v/>
      </c>
    </row>
    <row r="33">
      <c r="B33" t="inlineStr">
        <is>
          <t>Fringe 5990</t>
        </is>
      </c>
      <c r="G33" s="2" t="n">
        <v>10067.11</v>
      </c>
      <c r="H33" s="2" t="n">
        <v>10067.11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820196.5</v>
      </c>
      <c r="H35" s="2" t="n">
        <v>820196.5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19230.67</v>
      </c>
      <c r="H43" s="2" t="n">
        <v>19230.67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1750000</v>
      </c>
      <c r="AE45" s="10">
        <f>SUM(C45:AD45)</f>
        <v/>
      </c>
    </row>
    <row r="46">
      <c r="B46" t="inlineStr">
        <is>
          <t>Obligated</t>
        </is>
      </c>
      <c r="G46" s="2" t="n">
        <v>1750000</v>
      </c>
      <c r="AE46" s="10">
        <f>SUM(C46:AD46)</f>
        <v/>
      </c>
    </row>
    <row r="47">
      <c r="B47" t="inlineStr">
        <is>
          <t>Expended</t>
        </is>
      </c>
      <c r="H47" s="2" t="n">
        <v>1750000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2ADP019</t>
        </is>
      </c>
    </row>
    <row r="4">
      <c r="A4" s="1" t="inlineStr">
        <is>
          <t>ROLLUP #</t>
        </is>
      </c>
      <c r="B4" t="inlineStr">
        <is>
          <t>1019</t>
        </is>
      </c>
    </row>
    <row r="5">
      <c r="A5" s="1" t="inlineStr">
        <is>
          <t>PROJECT NAME</t>
        </is>
      </c>
      <c r="B5" t="inlineStr">
        <is>
          <t>NASIC Global Exploitation Squadron GXF T2 Program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62314.94</v>
      </c>
      <c r="N18" s="2" t="n">
        <v>6283.72</v>
      </c>
      <c r="AE18" s="10">
        <f>SUM(C18:AD18)</f>
        <v/>
      </c>
    </row>
    <row r="19">
      <c r="B19" t="inlineStr">
        <is>
          <t>Fringe 5990</t>
        </is>
      </c>
      <c r="J19" s="2" t="n">
        <v>24595.7</v>
      </c>
      <c r="N19" s="2" t="n">
        <v>2696.96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548467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46983.9</v>
      </c>
      <c r="N29" s="2" t="n">
        <v>11598.96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2774.56</v>
      </c>
      <c r="H32" s="2" t="n">
        <v>2774.56</v>
      </c>
      <c r="I32" s="2" t="n">
        <v>2774.56</v>
      </c>
      <c r="J32" s="2" t="n">
        <v>2774.56</v>
      </c>
      <c r="K32" s="2" t="n">
        <v>2774.56</v>
      </c>
      <c r="L32" s="2" t="n">
        <v>2774.56</v>
      </c>
      <c r="M32" s="2" t="n">
        <v>2774.56</v>
      </c>
      <c r="N32" s="2" t="n">
        <v>2774.56</v>
      </c>
      <c r="AE32" s="10">
        <f>SUM(C32:AD32)</f>
        <v/>
      </c>
    </row>
    <row r="33">
      <c r="B33" t="inlineStr">
        <is>
          <t>Fringe 5990</t>
        </is>
      </c>
      <c r="G33" s="2" t="n">
        <v>1095.12</v>
      </c>
      <c r="H33" s="2" t="n">
        <v>1095.12</v>
      </c>
      <c r="I33" s="2" t="n">
        <v>1095.12</v>
      </c>
      <c r="J33" s="2" t="n">
        <v>1095.12</v>
      </c>
      <c r="K33" s="2" t="n">
        <v>1095.12</v>
      </c>
      <c r="L33" s="2" t="n">
        <v>1095.12</v>
      </c>
      <c r="M33" s="2" t="n">
        <v>1095.12</v>
      </c>
      <c r="N33" s="2" t="n">
        <v>1095.12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68558.38</v>
      </c>
      <c r="H35" s="2" t="n">
        <v>68558.38</v>
      </c>
      <c r="I35" s="2" t="n">
        <v>68558.38</v>
      </c>
      <c r="J35" s="2" t="n">
        <v>68558.38</v>
      </c>
      <c r="K35" s="2" t="n">
        <v>68558.38</v>
      </c>
      <c r="L35" s="2" t="n">
        <v>68558.38</v>
      </c>
      <c r="M35" s="2" t="n">
        <v>68558.38</v>
      </c>
      <c r="N35" s="2" t="n">
        <v>68558.38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2091.95</v>
      </c>
      <c r="H43" s="2" t="n">
        <v>2091.95</v>
      </c>
      <c r="I43" s="2" t="n">
        <v>2091.95</v>
      </c>
      <c r="J43" s="2" t="n">
        <v>2091.95</v>
      </c>
      <c r="K43" s="2" t="n">
        <v>2091.95</v>
      </c>
      <c r="L43" s="2" t="n">
        <v>2091.95</v>
      </c>
      <c r="M43" s="2" t="n">
        <v>2091.95</v>
      </c>
      <c r="N43" s="2" t="n">
        <v>2091.95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596160</v>
      </c>
      <c r="AE45" s="10">
        <f>SUM(C45:AD45)</f>
        <v/>
      </c>
    </row>
    <row r="46">
      <c r="B46" t="inlineStr">
        <is>
          <t>Obligated</t>
        </is>
      </c>
      <c r="G46" s="2" t="n">
        <v>596160</v>
      </c>
      <c r="AE46" s="10">
        <f>SUM(C46:AD46)</f>
        <v/>
      </c>
    </row>
    <row r="47">
      <c r="B47" t="inlineStr">
        <is>
          <t>Expended</t>
        </is>
      </c>
      <c r="H47" s="2" t="n">
        <v>370000</v>
      </c>
      <c r="J47" s="2" t="n">
        <v>226160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2ADP020</t>
        </is>
      </c>
    </row>
    <row r="4">
      <c r="A4" s="1" t="inlineStr">
        <is>
          <t>ROLLUP #</t>
        </is>
      </c>
      <c r="B4" t="inlineStr">
        <is>
          <t>1020</t>
        </is>
      </c>
    </row>
    <row r="5">
      <c r="A5" s="1" t="inlineStr">
        <is>
          <t>PROJECT NAME</t>
        </is>
      </c>
      <c r="B5" t="inlineStr">
        <is>
          <t>NextFlex CII FHE for Low Cost Sensors</t>
        </is>
      </c>
    </row>
    <row r="6">
      <c r="A6" s="1" t="inlineStr">
        <is>
          <t>TECHNICAL POINT OF CONTACT</t>
        </is>
      </c>
      <c r="B6" t="inlineStr">
        <is>
          <t>Dave Sabanosh</t>
        </is>
      </c>
    </row>
    <row r="7">
      <c r="A7" s="1" t="inlineStr">
        <is>
          <t>PROJECT TYPE</t>
        </is>
      </c>
      <c r="B7" t="inlineStr">
        <is>
          <t>ADP-Tech, ADP-Tech Subk, PC ADP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AT</t>
        </is>
      </c>
    </row>
    <row r="11">
      <c r="A11" s="1" t="inlineStr">
        <is>
          <t>AVAILABLE FUNDS</t>
        </is>
      </c>
      <c r="B11" s="2" t="n">
        <v>-0.37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2224.18</v>
      </c>
      <c r="N18" s="2" t="n">
        <v>2980.98</v>
      </c>
      <c r="V18" s="2" t="n">
        <v>17003.67</v>
      </c>
      <c r="X18" s="2" t="n">
        <v>2518.93</v>
      </c>
      <c r="Y18" s="2" t="n">
        <v>8593.469999999999</v>
      </c>
      <c r="Z18" s="2" t="n">
        <v>8692.41</v>
      </c>
      <c r="AA18" s="2" t="n">
        <v>9710.290000000001</v>
      </c>
      <c r="AB18" s="2" t="n">
        <v>1584.53</v>
      </c>
      <c r="AE18" s="10">
        <f>SUM(C18:AD18)</f>
        <v/>
      </c>
    </row>
    <row r="19">
      <c r="B19" t="inlineStr">
        <is>
          <t>Fringe 5990</t>
        </is>
      </c>
      <c r="J19" s="2" t="n">
        <v>877.88</v>
      </c>
      <c r="N19" s="2" t="n">
        <v>1279.43</v>
      </c>
      <c r="V19" s="2" t="n">
        <v>8178.77</v>
      </c>
      <c r="X19" s="2" t="n">
        <v>1266.01</v>
      </c>
      <c r="Y19" s="2" t="n">
        <v>4319.07</v>
      </c>
      <c r="Z19" s="2" t="n">
        <v>4368.8</v>
      </c>
      <c r="AA19" s="2" t="n">
        <v>5256.18</v>
      </c>
      <c r="AB19" s="2" t="n">
        <v>857.6900000000001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853704.25</v>
      </c>
      <c r="O21" s="2" t="n">
        <v>802.24</v>
      </c>
      <c r="P21" s="2" t="n">
        <v>535293.75</v>
      </c>
      <c r="Q21" s="2" t="n">
        <v>442154.55</v>
      </c>
      <c r="R21" s="2" t="n">
        <v>621010.96</v>
      </c>
      <c r="S21" s="2" t="n">
        <v>-400.17</v>
      </c>
      <c r="T21" s="2" t="n">
        <v>68398.11</v>
      </c>
      <c r="U21" s="2" t="n">
        <v>228411</v>
      </c>
      <c r="V21" s="2" t="n">
        <v>203493.04</v>
      </c>
      <c r="X21" s="2" t="n">
        <v>140595.82</v>
      </c>
      <c r="Y21" s="2" t="n">
        <v>73946.53</v>
      </c>
      <c r="Z21" s="2" t="n">
        <v>122490.8</v>
      </c>
      <c r="AB21" s="2" t="n">
        <v>53135.83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40100</v>
      </c>
      <c r="AA23" s="2" t="n">
        <v>21060</v>
      </c>
      <c r="AB23" s="2" t="n">
        <v>14040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10070</v>
      </c>
      <c r="Y25" s="2" t="n">
        <v>2129.48</v>
      </c>
      <c r="AA25" s="2" t="n">
        <v>63.27</v>
      </c>
      <c r="AB25" s="2" t="n">
        <v>130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22367.05</v>
      </c>
      <c r="O27" s="2" t="n">
        <v>22.7</v>
      </c>
      <c r="P27" s="2" t="n">
        <v>15148.82</v>
      </c>
      <c r="Q27" s="2" t="n">
        <v>12512.97</v>
      </c>
      <c r="R27" s="2" t="n">
        <v>17574.59</v>
      </c>
      <c r="S27" s="2" t="n">
        <v>-11.33</v>
      </c>
      <c r="T27" s="2" t="n">
        <v>2092.06</v>
      </c>
      <c r="U27" s="2" t="n">
        <v>6989.37</v>
      </c>
      <c r="V27" s="2" t="n">
        <v>6226.89</v>
      </c>
      <c r="X27" s="2" t="n">
        <v>4119.45</v>
      </c>
      <c r="Y27" s="2" t="n">
        <v>2166.63</v>
      </c>
      <c r="Z27" s="2" t="n">
        <v>3588.98</v>
      </c>
      <c r="AB27" s="2" t="n">
        <v>1610.02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1676.98</v>
      </c>
      <c r="N29" s="2" t="n">
        <v>5501.9</v>
      </c>
      <c r="V29" s="2" t="n">
        <v>33087.2</v>
      </c>
      <c r="X29" s="2" t="n">
        <v>18397.97</v>
      </c>
      <c r="Y29" s="2" t="n">
        <v>19974.29</v>
      </c>
      <c r="Z29" s="2" t="n">
        <v>17343.98</v>
      </c>
      <c r="AA29" s="2" t="n">
        <v>20479.52</v>
      </c>
      <c r="AB29" s="2" t="n">
        <v>3504.88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13041.21</v>
      </c>
      <c r="I32" s="2" t="n">
        <v>13041.21</v>
      </c>
      <c r="J32" s="2" t="n">
        <v>13041.21</v>
      </c>
      <c r="K32" s="2" t="n">
        <v>13041.21</v>
      </c>
      <c r="L32" s="2" t="n">
        <v>13041.21</v>
      </c>
      <c r="M32" s="2" t="n">
        <v>13041.21</v>
      </c>
      <c r="N32" s="2" t="n">
        <v>13041.21</v>
      </c>
      <c r="O32" s="2" t="n">
        <v>13041.21</v>
      </c>
      <c r="P32" s="2" t="n">
        <v>13041.21</v>
      </c>
      <c r="Q32" s="2" t="n">
        <v>13041.21</v>
      </c>
      <c r="R32" s="2" t="n">
        <v>13041.21</v>
      </c>
      <c r="S32" s="2" t="n">
        <v>13041.21</v>
      </c>
      <c r="T32" s="2" t="n">
        <v>13041.21</v>
      </c>
      <c r="U32" s="2" t="n">
        <v>13041.21</v>
      </c>
      <c r="V32" s="2" t="n">
        <v>13041.21</v>
      </c>
      <c r="W32" s="2" t="n">
        <v>13041.21</v>
      </c>
      <c r="X32" s="2" t="n">
        <v>13041.21</v>
      </c>
      <c r="Y32" s="2" t="n">
        <v>13041.21</v>
      </c>
      <c r="Z32" s="2" t="n">
        <v>13041.21</v>
      </c>
      <c r="AA32" s="2" t="n">
        <v>13041.21</v>
      </c>
      <c r="AB32" s="2" t="n">
        <v>13041.21</v>
      </c>
      <c r="AC32" s="2" t="n">
        <v>13041.21</v>
      </c>
      <c r="AD32" s="2" t="n">
        <v>13041.21</v>
      </c>
      <c r="AE32" s="10">
        <f>SUM(C32:AD32)</f>
        <v/>
      </c>
    </row>
    <row r="33">
      <c r="B33" t="inlineStr">
        <is>
          <t>Fringe 5990</t>
        </is>
      </c>
      <c r="H33" s="2" t="n">
        <v>5147.37</v>
      </c>
      <c r="I33" s="2" t="n">
        <v>5147.37</v>
      </c>
      <c r="J33" s="2" t="n">
        <v>5147.37</v>
      </c>
      <c r="K33" s="2" t="n">
        <v>5147.37</v>
      </c>
      <c r="L33" s="2" t="n">
        <v>5147.37</v>
      </c>
      <c r="M33" s="2" t="n">
        <v>5147.37</v>
      </c>
      <c r="N33" s="2" t="n">
        <v>5147.37</v>
      </c>
      <c r="O33" s="2" t="n">
        <v>5147.37</v>
      </c>
      <c r="P33" s="2" t="n">
        <v>5147.37</v>
      </c>
      <c r="Q33" s="2" t="n">
        <v>5147.37</v>
      </c>
      <c r="R33" s="2" t="n">
        <v>5147.37</v>
      </c>
      <c r="S33" s="2" t="n">
        <v>5147.37</v>
      </c>
      <c r="T33" s="2" t="n">
        <v>5147.37</v>
      </c>
      <c r="U33" s="2" t="n">
        <v>5147.37</v>
      </c>
      <c r="V33" s="2" t="n">
        <v>5147.37</v>
      </c>
      <c r="W33" s="2" t="n">
        <v>5147.37</v>
      </c>
      <c r="X33" s="2" t="n">
        <v>5147.37</v>
      </c>
      <c r="Y33" s="2" t="n">
        <v>5147.37</v>
      </c>
      <c r="Z33" s="2" t="n">
        <v>5147.37</v>
      </c>
      <c r="AA33" s="2" t="n">
        <v>5147.37</v>
      </c>
      <c r="AB33" s="2" t="n">
        <v>5147.37</v>
      </c>
      <c r="AC33" s="2" t="n">
        <v>5147.37</v>
      </c>
      <c r="AD33" s="2" t="n">
        <v>5147.37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92737.06</v>
      </c>
      <c r="O35" s="2" t="n">
        <v>319937.7</v>
      </c>
      <c r="P35" s="2" t="n">
        <v>340800.96</v>
      </c>
      <c r="Q35" s="2" t="n">
        <v>340800.96</v>
      </c>
      <c r="R35" s="2" t="n">
        <v>340800.96</v>
      </c>
      <c r="S35" s="2" t="n">
        <v>340800.96</v>
      </c>
      <c r="T35" s="2" t="n">
        <v>340800.96</v>
      </c>
      <c r="U35" s="2" t="n">
        <v>340800.96</v>
      </c>
      <c r="V35" s="2" t="n">
        <v>340800.96</v>
      </c>
      <c r="W35" s="2" t="n">
        <v>340800.96</v>
      </c>
      <c r="X35" s="2" t="n">
        <v>340800.96</v>
      </c>
      <c r="AA35" s="2" t="n">
        <v>40909.08</v>
      </c>
      <c r="AB35" s="2" t="n">
        <v>40909.08</v>
      </c>
      <c r="AC35" s="2" t="n">
        <v>40909.08</v>
      </c>
      <c r="AD35" s="2" t="n">
        <v>27272.72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3000.6</v>
      </c>
      <c r="O41" s="2" t="n">
        <v>10137.18</v>
      </c>
      <c r="P41" s="2" t="n">
        <v>10704.87</v>
      </c>
      <c r="Q41" s="2" t="n">
        <v>10704.87</v>
      </c>
      <c r="R41" s="2" t="n">
        <v>10704.87</v>
      </c>
      <c r="S41" s="2" t="n">
        <v>10704.87</v>
      </c>
      <c r="T41" s="2" t="n">
        <v>10704.87</v>
      </c>
      <c r="U41" s="2" t="n">
        <v>10704.87</v>
      </c>
      <c r="V41" s="2" t="n">
        <v>10704.87</v>
      </c>
      <c r="W41" s="2" t="n">
        <v>10704.87</v>
      </c>
      <c r="X41" s="2" t="n">
        <v>10704.87</v>
      </c>
      <c r="AA41" s="2" t="n">
        <v>1239.54</v>
      </c>
      <c r="AB41" s="2" t="n">
        <v>1239.54</v>
      </c>
      <c r="AC41" s="2" t="n">
        <v>1239.54</v>
      </c>
      <c r="AD41" s="2" t="n">
        <v>826.36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9832.74</v>
      </c>
      <c r="I43" s="2" t="n">
        <v>9832.74</v>
      </c>
      <c r="J43" s="2" t="n">
        <v>9832.74</v>
      </c>
      <c r="K43" s="2" t="n">
        <v>9832.74</v>
      </c>
      <c r="L43" s="2" t="n">
        <v>9832.74</v>
      </c>
      <c r="M43" s="2" t="n">
        <v>9832.74</v>
      </c>
      <c r="N43" s="2" t="n">
        <v>9832.74</v>
      </c>
      <c r="O43" s="2" t="n">
        <v>9832.74</v>
      </c>
      <c r="P43" s="2" t="n">
        <v>9832.74</v>
      </c>
      <c r="Q43" s="2" t="n">
        <v>9832.74</v>
      </c>
      <c r="R43" s="2" t="n">
        <v>9832.74</v>
      </c>
      <c r="S43" s="2" t="n">
        <v>9832.74</v>
      </c>
      <c r="T43" s="2" t="n">
        <v>9832.74</v>
      </c>
      <c r="U43" s="2" t="n">
        <v>9832.74</v>
      </c>
      <c r="V43" s="2" t="n">
        <v>9832.74</v>
      </c>
      <c r="W43" s="2" t="n">
        <v>9832.74</v>
      </c>
      <c r="X43" s="2" t="n">
        <v>9832.74</v>
      </c>
      <c r="Y43" s="2" t="n">
        <v>9832.74</v>
      </c>
      <c r="Z43" s="2" t="n">
        <v>9832.74</v>
      </c>
      <c r="AA43" s="2" t="n">
        <v>9832.74</v>
      </c>
      <c r="AB43" s="2" t="n">
        <v>9832.74</v>
      </c>
      <c r="AC43" s="2" t="n">
        <v>9832.74</v>
      </c>
      <c r="AD43" s="2" t="n">
        <v>9832.74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4388400</v>
      </c>
      <c r="AE45" s="10">
        <f>SUM(C45:AD45)</f>
        <v/>
      </c>
    </row>
    <row r="46">
      <c r="B46" t="inlineStr">
        <is>
          <t>Obligated</t>
        </is>
      </c>
      <c r="H46" s="2" t="n">
        <v>4388400</v>
      </c>
      <c r="AE46" s="10">
        <f>SUM(C46:AD46)</f>
        <v/>
      </c>
    </row>
    <row r="47">
      <c r="B47" t="inlineStr">
        <is>
          <t>Expended</t>
        </is>
      </c>
      <c r="H47" s="2" t="n">
        <v>100000</v>
      </c>
      <c r="J47" s="2" t="n">
        <v>500000</v>
      </c>
      <c r="K47" s="2" t="n">
        <v>150000</v>
      </c>
      <c r="L47" s="2" t="n">
        <v>600000</v>
      </c>
      <c r="N47" s="2" t="n">
        <v>750000</v>
      </c>
      <c r="P47" s="2" t="n">
        <v>1525600</v>
      </c>
      <c r="Q47" s="2" t="n">
        <v>400000</v>
      </c>
      <c r="R47" s="2" t="n">
        <v>362800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2ADP021</t>
        </is>
      </c>
    </row>
    <row r="4">
      <c r="A4" s="1" t="inlineStr">
        <is>
          <t>ROLLUP #</t>
        </is>
      </c>
      <c r="B4" t="inlineStr">
        <is>
          <t>713071</t>
        </is>
      </c>
    </row>
    <row r="5">
      <c r="A5" s="1" t="inlineStr">
        <is>
          <t>PROJECT NAME</t>
        </is>
      </c>
      <c r="B5" t="inlineStr">
        <is>
          <t>FY21 Soldier Authentication Porject Prototype D</t>
        </is>
      </c>
    </row>
    <row r="6">
      <c r="A6" s="1" t="inlineStr">
        <is>
          <t>TECHNICAL POINT OF CONTACT</t>
        </is>
      </c>
      <c r="B6" t="inlineStr">
        <is>
          <t>Ogedi C 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180267.97</v>
      </c>
      <c r="N18" s="2" t="n">
        <v>148026.44</v>
      </c>
      <c r="AE18" s="10">
        <f>SUM(C18:AD18)</f>
        <v/>
      </c>
    </row>
    <row r="19">
      <c r="B19" t="inlineStr">
        <is>
          <t>Fringe 5990</t>
        </is>
      </c>
      <c r="J19" s="2" t="n">
        <v>71151.77</v>
      </c>
      <c r="N19" s="2" t="n">
        <v>63532.94</v>
      </c>
      <c r="AE19" s="10">
        <f>SUM(C19:AD19)</f>
        <v/>
      </c>
    </row>
    <row r="20">
      <c r="B20" t="inlineStr">
        <is>
          <t>Travel 5004</t>
        </is>
      </c>
      <c r="J20" s="2" t="n">
        <v>1362.93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999</v>
      </c>
      <c r="N25" s="2" t="n">
        <v>1701.14</v>
      </c>
      <c r="AE25" s="10">
        <f>SUM(C25:AD25)</f>
        <v/>
      </c>
    </row>
    <row r="26">
      <c r="B26" t="inlineStr">
        <is>
          <t>Material 5003</t>
        </is>
      </c>
      <c r="J26" s="2" t="n">
        <v>26228.42</v>
      </c>
      <c r="N26" s="2" t="n">
        <v>2601.14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155611.65</v>
      </c>
      <c r="N29" s="2" t="n">
        <v>278763.77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43216.01</v>
      </c>
      <c r="I32" s="2" t="n">
        <v>43216.01</v>
      </c>
      <c r="J32" s="2" t="n">
        <v>43216.01</v>
      </c>
      <c r="K32" s="2" t="n">
        <v>43216.01</v>
      </c>
      <c r="L32" s="2" t="n">
        <v>43216.01</v>
      </c>
      <c r="M32" s="2" t="n">
        <v>43216.01</v>
      </c>
      <c r="N32" s="2" t="n">
        <v>43216.01</v>
      </c>
      <c r="AE32" s="10">
        <f>SUM(C32:AD32)</f>
        <v/>
      </c>
    </row>
    <row r="33">
      <c r="B33" t="inlineStr">
        <is>
          <t>Fringe 5990</t>
        </is>
      </c>
      <c r="H33" s="2" t="n">
        <v>17057.36</v>
      </c>
      <c r="I33" s="2" t="n">
        <v>17057.36</v>
      </c>
      <c r="J33" s="2" t="n">
        <v>17057.36</v>
      </c>
      <c r="K33" s="2" t="n">
        <v>17057.36</v>
      </c>
      <c r="L33" s="2" t="n">
        <v>17057.36</v>
      </c>
      <c r="M33" s="2" t="n">
        <v>17057.36</v>
      </c>
      <c r="N33" s="2" t="n">
        <v>17057.36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7142.86</v>
      </c>
      <c r="I35" s="2" t="n">
        <v>7142.86</v>
      </c>
      <c r="J35" s="2" t="n">
        <v>7142.86</v>
      </c>
      <c r="K35" s="2" t="n">
        <v>7142.86</v>
      </c>
      <c r="L35" s="2" t="n">
        <v>7142.86</v>
      </c>
      <c r="M35" s="2" t="n">
        <v>7142.86</v>
      </c>
      <c r="N35" s="2" t="n">
        <v>7142.86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32583.78</v>
      </c>
      <c r="I43" s="2" t="n">
        <v>32583.78</v>
      </c>
      <c r="J43" s="2" t="n">
        <v>32583.78</v>
      </c>
      <c r="K43" s="2" t="n">
        <v>32583.78</v>
      </c>
      <c r="L43" s="2" t="n">
        <v>32583.78</v>
      </c>
      <c r="M43" s="2" t="n">
        <v>32583.78</v>
      </c>
      <c r="N43" s="2" t="n">
        <v>32583.78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700000</v>
      </c>
      <c r="AE45" s="10">
        <f>SUM(C45:AD45)</f>
        <v/>
      </c>
    </row>
    <row r="46">
      <c r="B46" t="inlineStr">
        <is>
          <t>Obligated</t>
        </is>
      </c>
      <c r="H46" s="2" t="n">
        <v>700000</v>
      </c>
      <c r="AE46" s="10">
        <f>SUM(C46:AD46)</f>
        <v/>
      </c>
    </row>
    <row r="47">
      <c r="B47" t="inlineStr">
        <is>
          <t>Expended</t>
        </is>
      </c>
      <c r="H47" s="2" t="n">
        <v>250000</v>
      </c>
      <c r="J47" s="2" t="n">
        <v>100000</v>
      </c>
      <c r="K47" s="2" t="n">
        <v>250000</v>
      </c>
      <c r="L47" s="2" t="n">
        <v>33333.33</v>
      </c>
      <c r="M47" s="2" t="n">
        <v>66666.67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2ADP022</t>
        </is>
      </c>
    </row>
    <row r="4">
      <c r="A4" s="1" t="inlineStr">
        <is>
          <t>ROLLUP #</t>
        </is>
      </c>
      <c r="B4" t="inlineStr">
        <is>
          <t>713072</t>
        </is>
      </c>
    </row>
    <row r="5">
      <c r="A5" s="1" t="inlineStr">
        <is>
          <t>PROJECT NAME</t>
        </is>
      </c>
      <c r="B5" t="inlineStr">
        <is>
          <t>TRADOC Artificial Intelligence AI Derived Organizational Insights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715.39</v>
      </c>
      <c r="N18" s="2" t="n">
        <v>4026.23</v>
      </c>
      <c r="O18" s="2" t="n">
        <v>1319.23</v>
      </c>
      <c r="AE18" s="10">
        <f>SUM(C18:AD18)</f>
        <v/>
      </c>
    </row>
    <row r="19">
      <c r="B19" t="inlineStr">
        <is>
          <t>Fringe 5990</t>
        </is>
      </c>
      <c r="J19" s="2" t="n">
        <v>282.36</v>
      </c>
      <c r="N19" s="2" t="n">
        <v>1728.06</v>
      </c>
      <c r="O19" s="2" t="n">
        <v>597.35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130114.26</v>
      </c>
      <c r="N21" s="2" t="n">
        <v>21685.74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568.17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539.39</v>
      </c>
      <c r="N29" s="2" t="n">
        <v>7431.09</v>
      </c>
      <c r="O29" s="2" t="n">
        <v>2773.67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767.92</v>
      </c>
      <c r="I32" s="2" t="n">
        <v>767.92</v>
      </c>
      <c r="J32" s="2" t="n">
        <v>767.92</v>
      </c>
      <c r="K32" s="2" t="n">
        <v>767.92</v>
      </c>
      <c r="L32" s="2" t="n">
        <v>767.92</v>
      </c>
      <c r="M32" s="2" t="n">
        <v>767.92</v>
      </c>
      <c r="N32" s="2" t="n">
        <v>767.92</v>
      </c>
      <c r="O32" s="2" t="n">
        <v>767.92</v>
      </c>
      <c r="AE32" s="10">
        <f>SUM(C32:AD32)</f>
        <v/>
      </c>
    </row>
    <row r="33">
      <c r="B33" t="inlineStr">
        <is>
          <t>Fringe 5990</t>
        </is>
      </c>
      <c r="H33" s="2" t="n">
        <v>303.1</v>
      </c>
      <c r="I33" s="2" t="n">
        <v>303.1</v>
      </c>
      <c r="J33" s="2" t="n">
        <v>303.1</v>
      </c>
      <c r="K33" s="2" t="n">
        <v>303.1</v>
      </c>
      <c r="L33" s="2" t="n">
        <v>303.1</v>
      </c>
      <c r="M33" s="2" t="n">
        <v>303.1</v>
      </c>
      <c r="N33" s="2" t="n">
        <v>303.1</v>
      </c>
      <c r="O33" s="2" t="n">
        <v>303.1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18975</v>
      </c>
      <c r="I35" s="2" t="n">
        <v>18975</v>
      </c>
      <c r="J35" s="2" t="n">
        <v>18975</v>
      </c>
      <c r="K35" s="2" t="n">
        <v>18975</v>
      </c>
      <c r="L35" s="2" t="n">
        <v>18975</v>
      </c>
      <c r="M35" s="2" t="n">
        <v>18975</v>
      </c>
      <c r="N35" s="2" t="n">
        <v>18975</v>
      </c>
      <c r="O35" s="2" t="n">
        <v>18975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578.99</v>
      </c>
      <c r="I43" s="2" t="n">
        <v>578.99</v>
      </c>
      <c r="J43" s="2" t="n">
        <v>578.99</v>
      </c>
      <c r="K43" s="2" t="n">
        <v>578.99</v>
      </c>
      <c r="L43" s="2" t="n">
        <v>578.99</v>
      </c>
      <c r="M43" s="2" t="n">
        <v>578.99</v>
      </c>
      <c r="N43" s="2" t="n">
        <v>578.99</v>
      </c>
      <c r="O43" s="2" t="n">
        <v>578.99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165000</v>
      </c>
      <c r="AE45" s="10">
        <f>SUM(C45:AD45)</f>
        <v/>
      </c>
    </row>
    <row r="46">
      <c r="B46" t="inlineStr">
        <is>
          <t>Obligated</t>
        </is>
      </c>
      <c r="H46" s="2" t="n">
        <v>165000</v>
      </c>
      <c r="AE46" s="10">
        <f>SUM(C46:AD46)</f>
        <v/>
      </c>
    </row>
    <row r="47">
      <c r="B47" t="inlineStr">
        <is>
          <t>Expended</t>
        </is>
      </c>
      <c r="J47" s="2" t="n">
        <v>165000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2ADP023</t>
        </is>
      </c>
    </row>
    <row r="4">
      <c r="A4" s="1" t="inlineStr">
        <is>
          <t>ROLLUP #</t>
        </is>
      </c>
      <c r="B4" t="inlineStr">
        <is>
          <t>1023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Jennifer Bird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24864.39</v>
      </c>
      <c r="N18" s="2" t="n">
        <v>20065.57</v>
      </c>
      <c r="V18" s="2" t="n">
        <v>49997.15</v>
      </c>
      <c r="W18" s="2" t="n">
        <v>4190.56</v>
      </c>
      <c r="Y18" s="2" t="n">
        <v>-16.14</v>
      </c>
      <c r="AE18" s="10">
        <f>SUM(C18:AD18)</f>
        <v/>
      </c>
    </row>
    <row r="19">
      <c r="B19" t="inlineStr">
        <is>
          <t>Fringe 5990</t>
        </is>
      </c>
      <c r="J19" s="2" t="n">
        <v>9813.98</v>
      </c>
      <c r="N19" s="2" t="n">
        <v>8612.120000000001</v>
      </c>
      <c r="V19" s="2" t="n">
        <v>24048.63</v>
      </c>
      <c r="W19" s="2" t="n">
        <v>2106.18</v>
      </c>
      <c r="Y19" s="2" t="n">
        <v>-8.109999999999999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3795000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234</v>
      </c>
      <c r="X25" s="2" t="n">
        <v>24.26</v>
      </c>
      <c r="AE25" s="10">
        <f>SUM(C25:AD25)</f>
        <v/>
      </c>
    </row>
    <row r="26">
      <c r="B26" t="inlineStr">
        <is>
          <t>Material 5003</t>
        </is>
      </c>
      <c r="J26" s="2" t="n">
        <v>2369.53</v>
      </c>
      <c r="N26" s="2" t="n">
        <v>8930.629999999999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20105.18</v>
      </c>
      <c r="N29" s="2" t="n">
        <v>48869.28</v>
      </c>
      <c r="V29" s="2" t="n">
        <v>97288.75999999999</v>
      </c>
      <c r="W29" s="2" t="n">
        <v>8361.440000000001</v>
      </c>
      <c r="X29" s="2" t="n">
        <v>32.21</v>
      </c>
      <c r="Y29" s="2" t="n">
        <v>-32.2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9598.940000000001</v>
      </c>
      <c r="J32" s="2" t="n">
        <v>9598.940000000001</v>
      </c>
      <c r="K32" s="2" t="n">
        <v>9598.940000000001</v>
      </c>
      <c r="L32" s="2" t="n">
        <v>9598.940000000001</v>
      </c>
      <c r="M32" s="2" t="n">
        <v>9598.940000000001</v>
      </c>
      <c r="N32" s="2" t="n">
        <v>9598.940000000001</v>
      </c>
      <c r="O32" s="2" t="n">
        <v>9598.940000000001</v>
      </c>
      <c r="P32" s="2" t="n">
        <v>9598.940000000001</v>
      </c>
      <c r="Q32" s="2" t="n">
        <v>9598.940000000001</v>
      </c>
      <c r="R32" s="2" t="n">
        <v>9598.940000000001</v>
      </c>
      <c r="S32" s="2" t="n">
        <v>9598.940000000001</v>
      </c>
      <c r="T32" s="2" t="n">
        <v>9598.940000000001</v>
      </c>
      <c r="U32" s="2" t="n">
        <v>9598.940000000001</v>
      </c>
      <c r="V32" s="2" t="n">
        <v>9598.940000000001</v>
      </c>
      <c r="W32" s="2" t="n">
        <v>9598.940000000001</v>
      </c>
      <c r="X32" s="2" t="n">
        <v>9598.940000000001</v>
      </c>
      <c r="AE32" s="10">
        <f>SUM(C32:AD32)</f>
        <v/>
      </c>
    </row>
    <row r="33">
      <c r="B33" t="inlineStr">
        <is>
          <t>Fringe 5990</t>
        </is>
      </c>
      <c r="I33" s="2" t="n">
        <v>3788.7</v>
      </c>
      <c r="J33" s="2" t="n">
        <v>3788.7</v>
      </c>
      <c r="K33" s="2" t="n">
        <v>3788.7</v>
      </c>
      <c r="L33" s="2" t="n">
        <v>3788.7</v>
      </c>
      <c r="M33" s="2" t="n">
        <v>3788.7</v>
      </c>
      <c r="N33" s="2" t="n">
        <v>3788.7</v>
      </c>
      <c r="O33" s="2" t="n">
        <v>3788.7</v>
      </c>
      <c r="P33" s="2" t="n">
        <v>3788.7</v>
      </c>
      <c r="Q33" s="2" t="n">
        <v>3788.7</v>
      </c>
      <c r="R33" s="2" t="n">
        <v>3788.7</v>
      </c>
      <c r="S33" s="2" t="n">
        <v>3788.7</v>
      </c>
      <c r="T33" s="2" t="n">
        <v>3788.7</v>
      </c>
      <c r="U33" s="2" t="n">
        <v>3788.7</v>
      </c>
      <c r="V33" s="2" t="n">
        <v>3788.7</v>
      </c>
      <c r="W33" s="2" t="n">
        <v>3788.7</v>
      </c>
      <c r="X33" s="2" t="n">
        <v>3788.7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237187.5</v>
      </c>
      <c r="J35" s="2" t="n">
        <v>237187.5</v>
      </c>
      <c r="K35" s="2" t="n">
        <v>237187.5</v>
      </c>
      <c r="L35" s="2" t="n">
        <v>237187.5</v>
      </c>
      <c r="M35" s="2" t="n">
        <v>237187.5</v>
      </c>
      <c r="N35" s="2" t="n">
        <v>237187.5</v>
      </c>
      <c r="O35" s="2" t="n">
        <v>237187.5</v>
      </c>
      <c r="P35" s="2" t="n">
        <v>237187.5</v>
      </c>
      <c r="Q35" s="2" t="n">
        <v>237187.5</v>
      </c>
      <c r="R35" s="2" t="n">
        <v>237187.5</v>
      </c>
      <c r="S35" s="2" t="n">
        <v>237187.5</v>
      </c>
      <c r="T35" s="2" t="n">
        <v>237187.5</v>
      </c>
      <c r="U35" s="2" t="n">
        <v>237187.5</v>
      </c>
      <c r="V35" s="2" t="n">
        <v>237187.5</v>
      </c>
      <c r="W35" s="2" t="n">
        <v>237187.5</v>
      </c>
      <c r="X35" s="2" t="n">
        <v>237187.5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7237.36</v>
      </c>
      <c r="J43" s="2" t="n">
        <v>7237.36</v>
      </c>
      <c r="K43" s="2" t="n">
        <v>7237.36</v>
      </c>
      <c r="L43" s="2" t="n">
        <v>7237.36</v>
      </c>
      <c r="M43" s="2" t="n">
        <v>7237.36</v>
      </c>
      <c r="N43" s="2" t="n">
        <v>7237.36</v>
      </c>
      <c r="O43" s="2" t="n">
        <v>7237.36</v>
      </c>
      <c r="P43" s="2" t="n">
        <v>7237.36</v>
      </c>
      <c r="Q43" s="2" t="n">
        <v>7237.36</v>
      </c>
      <c r="R43" s="2" t="n">
        <v>7237.36</v>
      </c>
      <c r="S43" s="2" t="n">
        <v>7237.36</v>
      </c>
      <c r="T43" s="2" t="n">
        <v>7237.36</v>
      </c>
      <c r="U43" s="2" t="n">
        <v>7237.36</v>
      </c>
      <c r="V43" s="2" t="n">
        <v>7237.36</v>
      </c>
      <c r="W43" s="2" t="n">
        <v>7237.36</v>
      </c>
      <c r="X43" s="2" t="n">
        <v>7237.36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4125000</v>
      </c>
      <c r="AE45" s="10">
        <f>SUM(C45:AD45)</f>
        <v/>
      </c>
    </row>
    <row r="46">
      <c r="B46" t="inlineStr">
        <is>
          <t>Obligated</t>
        </is>
      </c>
      <c r="I46" s="2" t="n">
        <v>4125000</v>
      </c>
      <c r="AE46" s="10">
        <f>SUM(C46:AD46)</f>
        <v/>
      </c>
    </row>
    <row r="47">
      <c r="B47" t="inlineStr">
        <is>
          <t>Expended</t>
        </is>
      </c>
      <c r="J47" s="2" t="n">
        <v>4125000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2ADP024</t>
        </is>
      </c>
    </row>
    <row r="4">
      <c r="A4" s="1" t="inlineStr">
        <is>
          <t>ROLLUP #</t>
        </is>
      </c>
      <c r="B4" t="inlineStr">
        <is>
          <t>713073</t>
        </is>
      </c>
    </row>
    <row r="5">
      <c r="A5" s="1" t="inlineStr">
        <is>
          <t>PROJECT NAME</t>
        </is>
      </c>
      <c r="B5" t="inlineStr">
        <is>
          <t>Defense Treat Reduction Agency DTRA funded follow on to drive Manufacturing Development for Fully Flexible High Performing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693.03</v>
      </c>
      <c r="N18" s="2" t="n">
        <v>1655.36</v>
      </c>
      <c r="V18" s="2" t="n">
        <v>6243.56</v>
      </c>
      <c r="W18" s="2" t="n">
        <v>3881.24</v>
      </c>
      <c r="Y18" s="2" t="n">
        <v>3038.32</v>
      </c>
      <c r="AE18" s="10">
        <f>SUM(C18:AD18)</f>
        <v/>
      </c>
    </row>
    <row r="19">
      <c r="B19" t="inlineStr">
        <is>
          <t>Fringe 5990</t>
        </is>
      </c>
      <c r="J19" s="2" t="n">
        <v>273.54</v>
      </c>
      <c r="N19" s="2" t="n">
        <v>710.47</v>
      </c>
      <c r="V19" s="2" t="n">
        <v>3003.15</v>
      </c>
      <c r="W19" s="2" t="n">
        <v>1950.71</v>
      </c>
      <c r="Y19" s="2" t="n">
        <v>1527.06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502797.66</v>
      </c>
      <c r="P21" s="2" t="n">
        <v>-20518.8</v>
      </c>
      <c r="R21" s="2" t="n">
        <v>71959.27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325</v>
      </c>
      <c r="V25" s="2" t="n">
        <v>1705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13173.3</v>
      </c>
      <c r="P27" s="2" t="n">
        <v>-580.6799999999999</v>
      </c>
      <c r="R27" s="2" t="n">
        <v>2036.45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522.53</v>
      </c>
      <c r="N29" s="2" t="n">
        <v>3474.95</v>
      </c>
      <c r="U29" s="2" t="n">
        <v>4856.82</v>
      </c>
      <c r="V29" s="2" t="n">
        <v>14389.46</v>
      </c>
      <c r="W29" s="2" t="n">
        <v>7744.24</v>
      </c>
      <c r="Y29" s="2" t="n">
        <v>6062.37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1727.28</v>
      </c>
      <c r="J32" s="2" t="n">
        <v>1727.28</v>
      </c>
      <c r="K32" s="2" t="n">
        <v>1727.28</v>
      </c>
      <c r="L32" s="2" t="n">
        <v>1727.28</v>
      </c>
      <c r="M32" s="2" t="n">
        <v>1727.28</v>
      </c>
      <c r="N32" s="2" t="n">
        <v>1727.28</v>
      </c>
      <c r="O32" s="2" t="n">
        <v>1727.28</v>
      </c>
      <c r="P32" s="2" t="n">
        <v>1727.28</v>
      </c>
      <c r="Q32" s="2" t="n">
        <v>1727.28</v>
      </c>
      <c r="R32" s="2" t="n">
        <v>1727.28</v>
      </c>
      <c r="S32" s="2" t="n">
        <v>1727.28</v>
      </c>
      <c r="T32" s="2" t="n">
        <v>1727.28</v>
      </c>
      <c r="U32" s="2" t="n">
        <v>1727.28</v>
      </c>
      <c r="V32" s="2" t="n">
        <v>1727.28</v>
      </c>
      <c r="W32" s="2" t="n">
        <v>1727.28</v>
      </c>
      <c r="X32" s="2" t="n">
        <v>1727.28</v>
      </c>
      <c r="Y32" s="2" t="n">
        <v>1727.28</v>
      </c>
      <c r="AE32" s="10">
        <f>SUM(C32:AD32)</f>
        <v/>
      </c>
    </row>
    <row r="33">
      <c r="B33" t="inlineStr">
        <is>
          <t>Fringe 5990</t>
        </is>
      </c>
      <c r="I33" s="2" t="n">
        <v>681.76</v>
      </c>
      <c r="J33" s="2" t="n">
        <v>681.76</v>
      </c>
      <c r="K33" s="2" t="n">
        <v>681.76</v>
      </c>
      <c r="L33" s="2" t="n">
        <v>681.76</v>
      </c>
      <c r="M33" s="2" t="n">
        <v>681.76</v>
      </c>
      <c r="N33" s="2" t="n">
        <v>681.76</v>
      </c>
      <c r="O33" s="2" t="n">
        <v>681.76</v>
      </c>
      <c r="P33" s="2" t="n">
        <v>681.76</v>
      </c>
      <c r="Q33" s="2" t="n">
        <v>681.76</v>
      </c>
      <c r="R33" s="2" t="n">
        <v>681.76</v>
      </c>
      <c r="S33" s="2" t="n">
        <v>681.76</v>
      </c>
      <c r="T33" s="2" t="n">
        <v>681.76</v>
      </c>
      <c r="U33" s="2" t="n">
        <v>681.76</v>
      </c>
      <c r="V33" s="2" t="n">
        <v>681.76</v>
      </c>
      <c r="W33" s="2" t="n">
        <v>681.76</v>
      </c>
      <c r="X33" s="2" t="n">
        <v>681.76</v>
      </c>
      <c r="Y33" s="2" t="n">
        <v>681.76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33401.88</v>
      </c>
      <c r="J35" s="2" t="n">
        <v>33401.88</v>
      </c>
      <c r="K35" s="2" t="n">
        <v>33401.88</v>
      </c>
      <c r="L35" s="2" t="n">
        <v>33401.88</v>
      </c>
      <c r="M35" s="2" t="n">
        <v>33401.88</v>
      </c>
      <c r="N35" s="2" t="n">
        <v>33401.88</v>
      </c>
      <c r="O35" s="2" t="n">
        <v>33401.88</v>
      </c>
      <c r="P35" s="2" t="n">
        <v>33401.88</v>
      </c>
      <c r="Q35" s="2" t="n">
        <v>33401.88</v>
      </c>
      <c r="R35" s="2" t="n">
        <v>33401.88</v>
      </c>
      <c r="S35" s="2" t="n">
        <v>33401.88</v>
      </c>
      <c r="T35" s="2" t="n">
        <v>33401.88</v>
      </c>
      <c r="U35" s="2" t="n">
        <v>33401.88</v>
      </c>
      <c r="V35" s="2" t="n">
        <v>33401.88</v>
      </c>
      <c r="W35" s="2" t="n">
        <v>33401.88</v>
      </c>
      <c r="X35" s="2" t="n">
        <v>33401.88</v>
      </c>
      <c r="Y35" s="2" t="n">
        <v>33401.88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1302.32</v>
      </c>
      <c r="J43" s="2" t="n">
        <v>1302.32</v>
      </c>
      <c r="K43" s="2" t="n">
        <v>1302.32</v>
      </c>
      <c r="L43" s="2" t="n">
        <v>1302.32</v>
      </c>
      <c r="M43" s="2" t="n">
        <v>1302.32</v>
      </c>
      <c r="N43" s="2" t="n">
        <v>1302.32</v>
      </c>
      <c r="O43" s="2" t="n">
        <v>1302.32</v>
      </c>
      <c r="P43" s="2" t="n">
        <v>1302.32</v>
      </c>
      <c r="Q43" s="2" t="n">
        <v>1302.32</v>
      </c>
      <c r="R43" s="2" t="n">
        <v>1302.32</v>
      </c>
      <c r="S43" s="2" t="n">
        <v>1302.32</v>
      </c>
      <c r="T43" s="2" t="n">
        <v>1302.32</v>
      </c>
      <c r="U43" s="2" t="n">
        <v>1302.32</v>
      </c>
      <c r="V43" s="2" t="n">
        <v>1302.32</v>
      </c>
      <c r="W43" s="2" t="n">
        <v>1302.32</v>
      </c>
      <c r="X43" s="2" t="n">
        <v>1302.32</v>
      </c>
      <c r="Y43" s="2" t="n">
        <v>1302.32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630924.61</v>
      </c>
      <c r="AE45" s="10">
        <f>SUM(C45:AD45)</f>
        <v/>
      </c>
    </row>
    <row r="46">
      <c r="B46" t="inlineStr">
        <is>
          <t>Obligated</t>
        </is>
      </c>
      <c r="I46" s="2" t="n">
        <v>630924.61</v>
      </c>
      <c r="AE46" s="10">
        <f>SUM(C46:AD46)</f>
        <v/>
      </c>
    </row>
    <row r="47">
      <c r="B47" t="inlineStr">
        <is>
          <t>Expended</t>
        </is>
      </c>
      <c r="J47" s="2" t="n">
        <v>200000</v>
      </c>
      <c r="K47" s="2" t="n">
        <v>100000</v>
      </c>
      <c r="L47" s="2" t="n">
        <v>330924.61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2ADP025</t>
        </is>
      </c>
    </row>
    <row r="4">
      <c r="A4" s="1" t="inlineStr">
        <is>
          <t>ROLLUP #</t>
        </is>
      </c>
      <c r="B4" t="inlineStr">
        <is>
          <t>1025</t>
        </is>
      </c>
    </row>
    <row r="5">
      <c r="A5" s="1" t="inlineStr">
        <is>
          <t>PROJECT NAME</t>
        </is>
      </c>
      <c r="B5" t="inlineStr">
        <is>
          <t>NASIC Global Exploitation Squadron GXF T2 Program PH 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371.1</v>
      </c>
      <c r="N18" s="2" t="n">
        <v>165278.83</v>
      </c>
      <c r="AE18" s="10">
        <f>SUM(C18:AD18)</f>
        <v/>
      </c>
    </row>
    <row r="19">
      <c r="B19" t="inlineStr">
        <is>
          <t>Fringe 5990</t>
        </is>
      </c>
      <c r="J19" s="2" t="n">
        <v>146.47</v>
      </c>
      <c r="N19" s="2" t="n">
        <v>70937.66</v>
      </c>
      <c r="V19" s="2" t="n">
        <v>-0.01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787923.26</v>
      </c>
      <c r="N21" s="2" t="n">
        <v>2697037.74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117</v>
      </c>
      <c r="AE25" s="10">
        <f>SUM(C25:AD25)</f>
        <v/>
      </c>
    </row>
    <row r="26">
      <c r="B26" t="inlineStr">
        <is>
          <t>Material 5003</t>
        </is>
      </c>
      <c r="N26" s="2" t="n">
        <v>6945.6</v>
      </c>
      <c r="Q26" s="2" t="n">
        <v>-80</v>
      </c>
      <c r="AE26" s="10">
        <f>SUM(C26:AD26)</f>
        <v/>
      </c>
    </row>
    <row r="27">
      <c r="B27" t="inlineStr">
        <is>
          <t>Sub K Overhead 5992</t>
        </is>
      </c>
      <c r="N27" s="2" t="n">
        <v>70662.39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279.8</v>
      </c>
      <c r="N29" s="2" t="n">
        <v>314170.63</v>
      </c>
      <c r="Q29" s="2" t="n">
        <v>-115.78</v>
      </c>
      <c r="V29" s="2" t="n">
        <v>0.01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8814.73</v>
      </c>
      <c r="J32" s="2" t="n">
        <v>8814.73</v>
      </c>
      <c r="K32" s="2" t="n">
        <v>8814.73</v>
      </c>
      <c r="L32" s="2" t="n">
        <v>8814.73</v>
      </c>
      <c r="M32" s="2" t="n">
        <v>8814.73</v>
      </c>
      <c r="N32" s="2" t="n">
        <v>8814.73</v>
      </c>
      <c r="O32" s="2" t="n">
        <v>8814.73</v>
      </c>
      <c r="P32" s="2" t="n">
        <v>8814.73</v>
      </c>
      <c r="Q32" s="2" t="n">
        <v>8814.73</v>
      </c>
      <c r="R32" s="2" t="n">
        <v>8814.73</v>
      </c>
      <c r="S32" s="2" t="n">
        <v>8814.73</v>
      </c>
      <c r="T32" s="2" t="n">
        <v>8814.73</v>
      </c>
      <c r="U32" s="2" t="n">
        <v>8814.73</v>
      </c>
      <c r="V32" s="2" t="n">
        <v>8814.73</v>
      </c>
      <c r="W32" s="2" t="n">
        <v>8814.73</v>
      </c>
      <c r="X32" s="2" t="n">
        <v>8814.73</v>
      </c>
      <c r="AE32" s="10">
        <f>SUM(C32:AD32)</f>
        <v/>
      </c>
    </row>
    <row r="33">
      <c r="B33" t="inlineStr">
        <is>
          <t>Fringe 5990</t>
        </is>
      </c>
      <c r="I33" s="2" t="n">
        <v>3479.18</v>
      </c>
      <c r="J33" s="2" t="n">
        <v>3479.18</v>
      </c>
      <c r="K33" s="2" t="n">
        <v>3479.18</v>
      </c>
      <c r="L33" s="2" t="n">
        <v>3479.18</v>
      </c>
      <c r="M33" s="2" t="n">
        <v>3479.18</v>
      </c>
      <c r="N33" s="2" t="n">
        <v>3479.18</v>
      </c>
      <c r="O33" s="2" t="n">
        <v>3479.18</v>
      </c>
      <c r="P33" s="2" t="n">
        <v>3479.18</v>
      </c>
      <c r="Q33" s="2" t="n">
        <v>3479.18</v>
      </c>
      <c r="R33" s="2" t="n">
        <v>3479.18</v>
      </c>
      <c r="S33" s="2" t="n">
        <v>3479.18</v>
      </c>
      <c r="T33" s="2" t="n">
        <v>3479.18</v>
      </c>
      <c r="U33" s="2" t="n">
        <v>3479.18</v>
      </c>
      <c r="V33" s="2" t="n">
        <v>3479.18</v>
      </c>
      <c r="W33" s="2" t="n">
        <v>3479.18</v>
      </c>
      <c r="X33" s="2" t="n">
        <v>3479.18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217810.06</v>
      </c>
      <c r="J35" s="2" t="n">
        <v>217810.06</v>
      </c>
      <c r="K35" s="2" t="n">
        <v>217810.06</v>
      </c>
      <c r="L35" s="2" t="n">
        <v>217810.06</v>
      </c>
      <c r="M35" s="2" t="n">
        <v>217810.06</v>
      </c>
      <c r="N35" s="2" t="n">
        <v>217810.06</v>
      </c>
      <c r="O35" s="2" t="n">
        <v>217810.06</v>
      </c>
      <c r="P35" s="2" t="n">
        <v>217810.06</v>
      </c>
      <c r="Q35" s="2" t="n">
        <v>217810.06</v>
      </c>
      <c r="R35" s="2" t="n">
        <v>217810.06</v>
      </c>
      <c r="S35" s="2" t="n">
        <v>217810.06</v>
      </c>
      <c r="T35" s="2" t="n">
        <v>217810.06</v>
      </c>
      <c r="U35" s="2" t="n">
        <v>217810.06</v>
      </c>
      <c r="V35" s="2" t="n">
        <v>217810.06</v>
      </c>
      <c r="W35" s="2" t="n">
        <v>217810.06</v>
      </c>
      <c r="X35" s="2" t="n">
        <v>217810.06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6646.08</v>
      </c>
      <c r="J43" s="2" t="n">
        <v>6646.08</v>
      </c>
      <c r="K43" s="2" t="n">
        <v>6646.08</v>
      </c>
      <c r="L43" s="2" t="n">
        <v>6646.08</v>
      </c>
      <c r="M43" s="2" t="n">
        <v>6646.08</v>
      </c>
      <c r="N43" s="2" t="n">
        <v>6646.08</v>
      </c>
      <c r="O43" s="2" t="n">
        <v>6646.08</v>
      </c>
      <c r="P43" s="2" t="n">
        <v>6646.08</v>
      </c>
      <c r="Q43" s="2" t="n">
        <v>6646.08</v>
      </c>
      <c r="R43" s="2" t="n">
        <v>6646.08</v>
      </c>
      <c r="S43" s="2" t="n">
        <v>6646.08</v>
      </c>
      <c r="T43" s="2" t="n">
        <v>6646.08</v>
      </c>
      <c r="U43" s="2" t="n">
        <v>6646.08</v>
      </c>
      <c r="V43" s="2" t="n">
        <v>6646.08</v>
      </c>
      <c r="W43" s="2" t="n">
        <v>6646.08</v>
      </c>
      <c r="X43" s="2" t="n">
        <v>6646.08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3788001.31</v>
      </c>
      <c r="AE45" s="10">
        <f>SUM(C45:AD45)</f>
        <v/>
      </c>
    </row>
    <row r="46">
      <c r="B46" t="inlineStr">
        <is>
          <t>Obligated</t>
        </is>
      </c>
      <c r="I46" s="2" t="n">
        <v>3788001.31</v>
      </c>
      <c r="AE46" s="10">
        <f>SUM(C46:AD46)</f>
        <v/>
      </c>
    </row>
    <row r="47">
      <c r="B47" t="inlineStr">
        <is>
          <t>Expended</t>
        </is>
      </c>
      <c r="J47" s="2" t="n">
        <v>1770000</v>
      </c>
      <c r="K47" s="2" t="n">
        <v>1500000</v>
      </c>
      <c r="L47" s="2" t="n">
        <v>518001.31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2ADP026</t>
        </is>
      </c>
    </row>
    <row r="4">
      <c r="A4" s="1" t="inlineStr">
        <is>
          <t>ROLLUP #</t>
        </is>
      </c>
      <c r="B4" t="inlineStr">
        <is>
          <t>713074</t>
        </is>
      </c>
    </row>
    <row r="5">
      <c r="A5" s="1" t="inlineStr">
        <is>
          <t>PROJECT NAME</t>
        </is>
      </c>
      <c r="B5" t="inlineStr">
        <is>
          <t>Aircrew Flight Equipment Compatible EOG Monitoring Capabilty</t>
        </is>
      </c>
    </row>
    <row r="6">
      <c r="A6" s="1" t="inlineStr">
        <is>
          <t>TECHNICAL POINT OF CONTACT</t>
        </is>
      </c>
      <c r="B6" t="inlineStr">
        <is>
          <t>Regina M Shia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9213.59</v>
      </c>
      <c r="N18" s="2" t="n">
        <v>19552.58</v>
      </c>
      <c r="O18" s="2" t="n">
        <v>115.38</v>
      </c>
      <c r="AE18" s="10">
        <f>SUM(C18:AD18)</f>
        <v/>
      </c>
    </row>
    <row r="19">
      <c r="B19" t="inlineStr">
        <is>
          <t>Fringe 5990</t>
        </is>
      </c>
      <c r="J19" s="2" t="n">
        <v>3636.6</v>
      </c>
      <c r="N19" s="2" t="n">
        <v>8391.969999999999</v>
      </c>
      <c r="O19" s="2" t="n">
        <v>52.24</v>
      </c>
      <c r="AE19" s="10">
        <f>SUM(C19:AD19)</f>
        <v/>
      </c>
    </row>
    <row r="20">
      <c r="B20" t="inlineStr">
        <is>
          <t>Travel 5004</t>
        </is>
      </c>
      <c r="N20" s="2" t="n">
        <v>5522.5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9900</v>
      </c>
      <c r="N22" s="2" t="n">
        <v>5137.5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2209.29</v>
      </c>
      <c r="AE25" s="10">
        <f>SUM(C25:AD25)</f>
        <v/>
      </c>
    </row>
    <row r="26">
      <c r="B26" t="inlineStr">
        <is>
          <t>Material 5003</t>
        </is>
      </c>
      <c r="J26" s="2" t="n">
        <v>8436.73</v>
      </c>
      <c r="N26" s="2" t="n">
        <v>136.32</v>
      </c>
      <c r="R26" s="2" t="n">
        <v>225.55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16859.65</v>
      </c>
      <c r="N29" s="2" t="n">
        <v>52883.03</v>
      </c>
      <c r="O29" s="2" t="n">
        <v>242.59</v>
      </c>
      <c r="R29" s="2" t="n">
        <v>326.42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6399.29</v>
      </c>
      <c r="J32" s="2" t="n">
        <v>6399.29</v>
      </c>
      <c r="K32" s="2" t="n">
        <v>6399.29</v>
      </c>
      <c r="L32" s="2" t="n">
        <v>6399.29</v>
      </c>
      <c r="M32" s="2" t="n">
        <v>6399.29</v>
      </c>
      <c r="N32" s="2" t="n">
        <v>6399.29</v>
      </c>
      <c r="O32" s="2" t="n">
        <v>6399.29</v>
      </c>
      <c r="P32" s="2" t="n">
        <v>6399.29</v>
      </c>
      <c r="AE32" s="10">
        <f>SUM(C32:AD32)</f>
        <v/>
      </c>
    </row>
    <row r="33">
      <c r="B33" t="inlineStr">
        <is>
          <t>Fringe 5990</t>
        </is>
      </c>
      <c r="I33" s="2" t="n">
        <v>2525.8</v>
      </c>
      <c r="J33" s="2" t="n">
        <v>2525.8</v>
      </c>
      <c r="K33" s="2" t="n">
        <v>2525.8</v>
      </c>
      <c r="L33" s="2" t="n">
        <v>2525.8</v>
      </c>
      <c r="M33" s="2" t="n">
        <v>2525.8</v>
      </c>
      <c r="N33" s="2" t="n">
        <v>2525.8</v>
      </c>
      <c r="O33" s="2" t="n">
        <v>2525.8</v>
      </c>
      <c r="P33" s="2" t="n">
        <v>2525.8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4824.91</v>
      </c>
      <c r="J43" s="2" t="n">
        <v>4824.91</v>
      </c>
      <c r="K43" s="2" t="n">
        <v>4824.91</v>
      </c>
      <c r="L43" s="2" t="n">
        <v>4824.91</v>
      </c>
      <c r="M43" s="2" t="n">
        <v>4824.91</v>
      </c>
      <c r="N43" s="2" t="n">
        <v>4824.91</v>
      </c>
      <c r="O43" s="2" t="n">
        <v>4824.91</v>
      </c>
      <c r="P43" s="2" t="n">
        <v>4824.91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110000</v>
      </c>
      <c r="AE45" s="10">
        <f>SUM(C45:AD45)</f>
        <v/>
      </c>
    </row>
    <row r="46">
      <c r="B46" t="inlineStr">
        <is>
          <t>Obligated</t>
        </is>
      </c>
      <c r="I46" s="2" t="n">
        <v>110000</v>
      </c>
      <c r="AE46" s="10">
        <f>SUM(C46:AD46)</f>
        <v/>
      </c>
    </row>
    <row r="47">
      <c r="B47" t="inlineStr">
        <is>
          <t>Expended</t>
        </is>
      </c>
      <c r="J47" s="2" t="n">
        <v>90000</v>
      </c>
      <c r="K47" s="2" t="n">
        <v>20000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2ADP027</t>
        </is>
      </c>
    </row>
    <row r="4">
      <c r="A4" s="1" t="inlineStr">
        <is>
          <t>ROLLUP #</t>
        </is>
      </c>
      <c r="B4" t="inlineStr">
        <is>
          <t>1027</t>
        </is>
      </c>
    </row>
    <row r="5">
      <c r="A5" s="1" t="inlineStr">
        <is>
          <t>PROJECT NAME</t>
        </is>
      </c>
      <c r="B5" t="inlineStr">
        <is>
          <t>Project PhIII OUSD RE ManTech Flexible Xray Imager Digital Detector Arrays DDA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66.78</v>
      </c>
      <c r="N18" s="2" t="n">
        <v>47607.84</v>
      </c>
      <c r="AE18" s="10">
        <f>SUM(C18:AD18)</f>
        <v/>
      </c>
    </row>
    <row r="19">
      <c r="B19" t="inlineStr">
        <is>
          <t>Fringe 5990</t>
        </is>
      </c>
      <c r="J19" s="2" t="n">
        <v>26.36</v>
      </c>
      <c r="N19" s="2" t="n">
        <v>20433.29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742.5</v>
      </c>
      <c r="AE22" s="10">
        <f>SUM(C22:AD22)</f>
        <v/>
      </c>
    </row>
    <row r="23">
      <c r="B23" t="inlineStr">
        <is>
          <t>Equipment 5010</t>
        </is>
      </c>
      <c r="O23" s="2" t="n">
        <v>669088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50.35</v>
      </c>
      <c r="N29" s="2" t="n">
        <v>88827.16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4184.08</v>
      </c>
      <c r="J32" s="2" t="n">
        <v>4184.08</v>
      </c>
      <c r="K32" s="2" t="n">
        <v>4184.08</v>
      </c>
      <c r="L32" s="2" t="n">
        <v>4184.08</v>
      </c>
      <c r="M32" s="2" t="n">
        <v>4184.08</v>
      </c>
      <c r="N32" s="2" t="n">
        <v>4184.08</v>
      </c>
      <c r="O32" s="2" t="n">
        <v>4184.08</v>
      </c>
      <c r="P32" s="2" t="n">
        <v>4184.08</v>
      </c>
      <c r="Q32" s="2" t="n">
        <v>4184.08</v>
      </c>
      <c r="AE32" s="10">
        <f>SUM(C32:AD32)</f>
        <v/>
      </c>
    </row>
    <row r="33">
      <c r="B33" t="inlineStr">
        <is>
          <t>Fringe 5990</t>
        </is>
      </c>
      <c r="I33" s="2" t="n">
        <v>1651.45</v>
      </c>
      <c r="J33" s="2" t="n">
        <v>1651.45</v>
      </c>
      <c r="K33" s="2" t="n">
        <v>1651.45</v>
      </c>
      <c r="L33" s="2" t="n">
        <v>1651.45</v>
      </c>
      <c r="M33" s="2" t="n">
        <v>1651.45</v>
      </c>
      <c r="N33" s="2" t="n">
        <v>1651.45</v>
      </c>
      <c r="O33" s="2" t="n">
        <v>1651.45</v>
      </c>
      <c r="P33" s="2" t="n">
        <v>1651.45</v>
      </c>
      <c r="Q33" s="2" t="n">
        <v>1651.45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74343.11</v>
      </c>
      <c r="J35" s="2" t="n">
        <v>74343.11</v>
      </c>
      <c r="K35" s="2" t="n">
        <v>74343.11</v>
      </c>
      <c r="L35" s="2" t="n">
        <v>74343.11</v>
      </c>
      <c r="M35" s="2" t="n">
        <v>74343.11</v>
      </c>
      <c r="N35" s="2" t="n">
        <v>74343.11</v>
      </c>
      <c r="O35" s="2" t="n">
        <v>74343.11</v>
      </c>
      <c r="P35" s="2" t="n">
        <v>74343.11</v>
      </c>
      <c r="Q35" s="2" t="n">
        <v>74343.11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3154.69</v>
      </c>
      <c r="J43" s="2" t="n">
        <v>3154.69</v>
      </c>
      <c r="K43" s="2" t="n">
        <v>3154.69</v>
      </c>
      <c r="L43" s="2" t="n">
        <v>3154.69</v>
      </c>
      <c r="M43" s="2" t="n">
        <v>3154.69</v>
      </c>
      <c r="N43" s="2" t="n">
        <v>3154.69</v>
      </c>
      <c r="O43" s="2" t="n">
        <v>3154.69</v>
      </c>
      <c r="P43" s="2" t="n">
        <v>3154.69</v>
      </c>
      <c r="Q43" s="2" t="n">
        <v>3154.69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750000</v>
      </c>
      <c r="AE45" s="10">
        <f>SUM(C45:AD45)</f>
        <v/>
      </c>
    </row>
    <row r="46">
      <c r="B46" t="inlineStr">
        <is>
          <t>Obligated</t>
        </is>
      </c>
      <c r="I46" s="2" t="n">
        <v>750000</v>
      </c>
      <c r="AE46" s="10">
        <f>SUM(C46:AD46)</f>
        <v/>
      </c>
    </row>
    <row r="47">
      <c r="B47" t="inlineStr">
        <is>
          <t>Expended</t>
        </is>
      </c>
      <c r="K47" s="2" t="n">
        <v>600000</v>
      </c>
      <c r="L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2ADP028</t>
        </is>
      </c>
    </row>
    <row r="4">
      <c r="A4" s="1" t="inlineStr">
        <is>
          <t>ROLLUP #</t>
        </is>
      </c>
      <c r="B4" t="inlineStr">
        <is>
          <t>713075</t>
        </is>
      </c>
    </row>
    <row r="5">
      <c r="A5" s="1" t="inlineStr">
        <is>
          <t>PROJECT NAME</t>
        </is>
      </c>
      <c r="B5" t="inlineStr">
        <is>
          <t>AMENDED Detailed Research Plan NextFlex CII FHE Ecosystem Enhancement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233.73</v>
      </c>
      <c r="N18" s="2" t="n">
        <v>1608.21</v>
      </c>
      <c r="R18" s="2" t="n">
        <v>5531.75</v>
      </c>
      <c r="AE18" s="10">
        <f>SUM(C18:AD18)</f>
        <v/>
      </c>
    </row>
    <row r="19">
      <c r="B19" t="inlineStr">
        <is>
          <t>Fringe 5990</t>
        </is>
      </c>
      <c r="J19" s="2" t="n">
        <v>92.25</v>
      </c>
      <c r="N19" s="2" t="n">
        <v>690.25</v>
      </c>
      <c r="R19" s="2" t="n">
        <v>2504.78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2520</v>
      </c>
      <c r="N22" s="2" t="n">
        <v>1710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3200</v>
      </c>
      <c r="AE25" s="10">
        <f>SUM(C25:AD25)</f>
        <v/>
      </c>
    </row>
    <row r="26">
      <c r="B26" t="inlineStr">
        <is>
          <t>Material 5003</t>
        </is>
      </c>
      <c r="J26" s="2" t="n">
        <v>7114.19</v>
      </c>
      <c r="N26" s="2" t="n">
        <v>21750.46</v>
      </c>
      <c r="AE26" s="10">
        <f>SUM(C26:AD26)</f>
        <v/>
      </c>
    </row>
    <row r="27">
      <c r="B27" t="inlineStr">
        <is>
          <t>Sub K Overhead 5992</t>
        </is>
      </c>
      <c r="V27" s="2" t="n">
        <v>1034.73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7114.39</v>
      </c>
      <c r="N29" s="2" t="n">
        <v>33265.04</v>
      </c>
      <c r="R29" s="2" t="n">
        <v>11630.21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6648.62</v>
      </c>
      <c r="J32" s="2" t="n">
        <v>6648.62</v>
      </c>
      <c r="K32" s="2" t="n">
        <v>6648.62</v>
      </c>
      <c r="L32" s="2" t="n">
        <v>6648.62</v>
      </c>
      <c r="M32" s="2" t="n">
        <v>6648.62</v>
      </c>
      <c r="N32" s="2" t="n">
        <v>6648.62</v>
      </c>
      <c r="O32" s="2" t="n">
        <v>6648.62</v>
      </c>
      <c r="AE32" s="10">
        <f>SUM(C32:AD32)</f>
        <v/>
      </c>
    </row>
    <row r="33">
      <c r="B33" t="inlineStr">
        <is>
          <t>Fringe 5990</t>
        </is>
      </c>
      <c r="I33" s="2" t="n">
        <v>2624.21</v>
      </c>
      <c r="J33" s="2" t="n">
        <v>2624.21</v>
      </c>
      <c r="K33" s="2" t="n">
        <v>2624.21</v>
      </c>
      <c r="L33" s="2" t="n">
        <v>2624.21</v>
      </c>
      <c r="M33" s="2" t="n">
        <v>2624.21</v>
      </c>
      <c r="N33" s="2" t="n">
        <v>2624.21</v>
      </c>
      <c r="O33" s="2" t="n">
        <v>2624.21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5012.89</v>
      </c>
      <c r="J43" s="2" t="n">
        <v>5012.89</v>
      </c>
      <c r="K43" s="2" t="n">
        <v>5012.89</v>
      </c>
      <c r="L43" s="2" t="n">
        <v>5012.89</v>
      </c>
      <c r="M43" s="2" t="n">
        <v>5012.89</v>
      </c>
      <c r="N43" s="2" t="n">
        <v>5012.89</v>
      </c>
      <c r="O43" s="2" t="n">
        <v>5012.89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100000</v>
      </c>
      <c r="AE45" s="10">
        <f>SUM(C45:AD45)</f>
        <v/>
      </c>
    </row>
    <row r="46">
      <c r="B46" t="inlineStr">
        <is>
          <t>Obligated</t>
        </is>
      </c>
      <c r="G46" s="2" t="n">
        <v>100000</v>
      </c>
      <c r="AE46" s="10">
        <f>SUM(C46:AD46)</f>
        <v/>
      </c>
    </row>
    <row r="47">
      <c r="B47" t="inlineStr">
        <is>
          <t>Expended</t>
        </is>
      </c>
      <c r="J47" s="2" t="n">
        <v>50000</v>
      </c>
      <c r="K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2ADP029</t>
        </is>
      </c>
    </row>
    <row r="4">
      <c r="A4" s="1" t="inlineStr">
        <is>
          <t>ROLLUP #</t>
        </is>
      </c>
      <c r="B4" t="inlineStr">
        <is>
          <t>713076</t>
        </is>
      </c>
    </row>
    <row r="5">
      <c r="A5" s="1" t="inlineStr">
        <is>
          <t>PROJECT NAME</t>
        </is>
      </c>
      <c r="B5" t="inlineStr">
        <is>
          <t>OSI Civilian Training 192000 nd HQ Funds Accelaration 1209600</t>
        </is>
      </c>
    </row>
    <row r="6">
      <c r="A6" s="1" t="inlineStr">
        <is>
          <t>TECHNICAL POINT OF CONTACT</t>
        </is>
      </c>
      <c r="B6" t="inlineStr">
        <is>
          <t>Dustin Debarge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723.8200000000001</v>
      </c>
      <c r="R18" s="2" t="n">
        <v>1073.71</v>
      </c>
      <c r="S18" s="2" t="n">
        <v>149.82</v>
      </c>
      <c r="V18" s="2" t="n">
        <v>1176.25</v>
      </c>
      <c r="AE18" s="10">
        <f>SUM(C18:AD18)</f>
        <v/>
      </c>
    </row>
    <row r="19">
      <c r="B19" t="inlineStr">
        <is>
          <t>Fringe 5990</t>
        </is>
      </c>
      <c r="N19" s="2" t="n">
        <v>310.66</v>
      </c>
      <c r="R19" s="2" t="n">
        <v>486.17</v>
      </c>
      <c r="S19" s="2" t="n">
        <v>67.84</v>
      </c>
      <c r="T19" s="2" t="n">
        <v>4.22</v>
      </c>
      <c r="V19" s="2" t="n">
        <v>565.78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176640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4627.97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1335.94</v>
      </c>
      <c r="R29" s="2" t="n">
        <v>2257.46</v>
      </c>
      <c r="S29" s="2" t="n">
        <v>314.98</v>
      </c>
      <c r="T29" s="2" t="n">
        <v>-23.46</v>
      </c>
      <c r="V29" s="2" t="n">
        <v>2288.84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549.89</v>
      </c>
      <c r="K32" s="2" t="n">
        <v>549.89</v>
      </c>
      <c r="L32" s="2" t="n">
        <v>549.89</v>
      </c>
      <c r="M32" s="2" t="n">
        <v>549.89</v>
      </c>
      <c r="N32" s="2" t="n">
        <v>549.89</v>
      </c>
      <c r="O32" s="2" t="n">
        <v>549.89</v>
      </c>
      <c r="P32" s="2" t="n">
        <v>549.89</v>
      </c>
      <c r="Q32" s="2" t="n">
        <v>549.89</v>
      </c>
      <c r="R32" s="2" t="n">
        <v>549.89</v>
      </c>
      <c r="S32" s="2" t="n">
        <v>549.89</v>
      </c>
      <c r="T32" s="2" t="n">
        <v>549.89</v>
      </c>
      <c r="U32" s="2" t="n">
        <v>549.89</v>
      </c>
      <c r="V32" s="2" t="n">
        <v>549.89</v>
      </c>
      <c r="AE32" s="10">
        <f>SUM(C32:AD32)</f>
        <v/>
      </c>
    </row>
    <row r="33">
      <c r="B33" t="inlineStr">
        <is>
          <t>Fringe 5990</t>
        </is>
      </c>
      <c r="J33" s="2" t="n">
        <v>217.04</v>
      </c>
      <c r="K33" s="2" t="n">
        <v>217.04</v>
      </c>
      <c r="L33" s="2" t="n">
        <v>217.04</v>
      </c>
      <c r="M33" s="2" t="n">
        <v>217.04</v>
      </c>
      <c r="N33" s="2" t="n">
        <v>217.04</v>
      </c>
      <c r="O33" s="2" t="n">
        <v>217.04</v>
      </c>
      <c r="P33" s="2" t="n">
        <v>217.04</v>
      </c>
      <c r="Q33" s="2" t="n">
        <v>217.04</v>
      </c>
      <c r="R33" s="2" t="n">
        <v>217.04</v>
      </c>
      <c r="S33" s="2" t="n">
        <v>217.04</v>
      </c>
      <c r="T33" s="2" t="n">
        <v>217.04</v>
      </c>
      <c r="U33" s="2" t="n">
        <v>217.04</v>
      </c>
      <c r="V33" s="2" t="n">
        <v>217.04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13587.69</v>
      </c>
      <c r="K35" s="2" t="n">
        <v>13587.69</v>
      </c>
      <c r="L35" s="2" t="n">
        <v>13587.69</v>
      </c>
      <c r="M35" s="2" t="n">
        <v>13587.69</v>
      </c>
      <c r="N35" s="2" t="n">
        <v>13587.69</v>
      </c>
      <c r="O35" s="2" t="n">
        <v>13587.69</v>
      </c>
      <c r="P35" s="2" t="n">
        <v>13587.69</v>
      </c>
      <c r="Q35" s="2" t="n">
        <v>13587.69</v>
      </c>
      <c r="R35" s="2" t="n">
        <v>13587.69</v>
      </c>
      <c r="S35" s="2" t="n">
        <v>13587.69</v>
      </c>
      <c r="T35" s="2" t="n">
        <v>13587.69</v>
      </c>
      <c r="U35" s="2" t="n">
        <v>13587.69</v>
      </c>
      <c r="V35" s="2" t="n">
        <v>13587.69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414.6</v>
      </c>
      <c r="K43" s="2" t="n">
        <v>414.6</v>
      </c>
      <c r="L43" s="2" t="n">
        <v>414.6</v>
      </c>
      <c r="M43" s="2" t="n">
        <v>414.6</v>
      </c>
      <c r="N43" s="2" t="n">
        <v>414.6</v>
      </c>
      <c r="O43" s="2" t="n">
        <v>414.6</v>
      </c>
      <c r="P43" s="2" t="n">
        <v>414.6</v>
      </c>
      <c r="Q43" s="2" t="n">
        <v>414.6</v>
      </c>
      <c r="R43" s="2" t="n">
        <v>414.6</v>
      </c>
      <c r="S43" s="2" t="n">
        <v>414.6</v>
      </c>
      <c r="T43" s="2" t="n">
        <v>414.6</v>
      </c>
      <c r="U43" s="2" t="n">
        <v>414.6</v>
      </c>
      <c r="V43" s="2" t="n">
        <v>414.6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192000</v>
      </c>
      <c r="AE45" s="10">
        <f>SUM(C45:AD45)</f>
        <v/>
      </c>
    </row>
    <row r="46">
      <c r="B46" t="inlineStr">
        <is>
          <t>Obligated</t>
        </is>
      </c>
      <c r="J46" s="2" t="n">
        <v>192000</v>
      </c>
      <c r="AE46" s="10">
        <f>SUM(C46:AD46)</f>
        <v/>
      </c>
    </row>
    <row r="47">
      <c r="B47" t="inlineStr">
        <is>
          <t>Expended</t>
        </is>
      </c>
      <c r="K47" s="2" t="n">
        <v>90000</v>
      </c>
      <c r="L47" s="2" t="n">
        <v>102000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2ADP030</t>
        </is>
      </c>
    </row>
    <row r="4">
      <c r="A4" s="1" t="inlineStr">
        <is>
          <t>ROLLUP #</t>
        </is>
      </c>
      <c r="B4" t="inlineStr">
        <is>
          <t>1030</t>
        </is>
      </c>
    </row>
    <row r="5">
      <c r="A5" s="1" t="inlineStr">
        <is>
          <t>PROJECT NAME</t>
        </is>
      </c>
      <c r="B5" t="inlineStr">
        <is>
          <t>2D Inks for Adv Mfg of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BG, BH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141.53</v>
      </c>
      <c r="N18" s="2" t="n">
        <v>82305.5</v>
      </c>
      <c r="O18" s="2" t="n">
        <v>8949.51</v>
      </c>
      <c r="P18" s="2" t="n">
        <v>1797.23</v>
      </c>
      <c r="Q18" s="2" t="n">
        <v>2241.99</v>
      </c>
      <c r="R18" s="2" t="n">
        <v>77.31</v>
      </c>
      <c r="AE18" s="10">
        <f>SUM(C18:AD18)</f>
        <v/>
      </c>
    </row>
    <row r="19">
      <c r="B19" t="inlineStr">
        <is>
          <t>Fringe 5990</t>
        </is>
      </c>
      <c r="J19" s="2" t="n">
        <v>55.86</v>
      </c>
      <c r="N19" s="2" t="n">
        <v>35325.52</v>
      </c>
      <c r="O19" s="2" t="n">
        <v>4052.34</v>
      </c>
      <c r="P19" s="2" t="n">
        <v>813.79</v>
      </c>
      <c r="Q19" s="2" t="n">
        <v>1015.17</v>
      </c>
      <c r="R19" s="2" t="n">
        <v>35.01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1705327.21</v>
      </c>
      <c r="O21" s="2" t="n">
        <v>49853.86</v>
      </c>
      <c r="P21" s="2" t="n">
        <v>667987.88</v>
      </c>
      <c r="R21" s="2" t="n">
        <v>734712.23</v>
      </c>
      <c r="S21" s="2" t="n">
        <v>1424.96</v>
      </c>
      <c r="T21" s="2" t="n">
        <v>42332.24</v>
      </c>
      <c r="AE21" s="10">
        <f>SUM(C21:AD21)</f>
        <v/>
      </c>
    </row>
    <row r="22">
      <c r="B22" t="inlineStr">
        <is>
          <t>Consulting 5002</t>
        </is>
      </c>
      <c r="N22" s="2" t="n">
        <v>23493.75</v>
      </c>
      <c r="O22" s="2" t="n">
        <v>157.5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8802.84</v>
      </c>
      <c r="AE26" s="10">
        <f>SUM(C26:AD26)</f>
        <v/>
      </c>
    </row>
    <row r="27">
      <c r="B27" t="inlineStr">
        <is>
          <t>Sub K Overhead 5992</t>
        </is>
      </c>
      <c r="N27" s="2" t="n">
        <v>44679.56</v>
      </c>
      <c r="O27" s="2" t="n">
        <v>1410.86</v>
      </c>
      <c r="P27" s="2" t="n">
        <v>18904.06</v>
      </c>
      <c r="R27" s="2" t="n">
        <v>20792.35</v>
      </c>
      <c r="S27" s="2" t="n">
        <v>40.33</v>
      </c>
      <c r="T27" s="2" t="n">
        <v>1298.65</v>
      </c>
      <c r="U27" s="2" t="n">
        <v>-22467.86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106.71</v>
      </c>
      <c r="N29" s="2" t="n">
        <v>193616.53</v>
      </c>
      <c r="O29" s="2" t="n">
        <v>19044.21</v>
      </c>
      <c r="P29" s="2" t="n">
        <v>3778.66</v>
      </c>
      <c r="Q29" s="2" t="n">
        <v>4713.77</v>
      </c>
      <c r="R29" s="2" t="n">
        <v>162.54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12153.3</v>
      </c>
      <c r="K32" s="2" t="n">
        <v>12153.3</v>
      </c>
      <c r="L32" s="2" t="n">
        <v>12153.3</v>
      </c>
      <c r="M32" s="2" t="n">
        <v>12153.3</v>
      </c>
      <c r="N32" s="2" t="n">
        <v>12153.3</v>
      </c>
      <c r="O32" s="2" t="n">
        <v>12153.3</v>
      </c>
      <c r="P32" s="2" t="n">
        <v>12153.3</v>
      </c>
      <c r="Q32" s="2" t="n">
        <v>12153.3</v>
      </c>
      <c r="R32" s="2" t="n">
        <v>12153.3</v>
      </c>
      <c r="S32" s="2" t="n">
        <v>12153.3</v>
      </c>
      <c r="T32" s="2" t="n">
        <v>12153.3</v>
      </c>
      <c r="U32" s="2" t="n">
        <v>12153.3</v>
      </c>
      <c r="AE32" s="10">
        <f>SUM(C32:AD32)</f>
        <v/>
      </c>
    </row>
    <row r="33">
      <c r="B33" t="inlineStr">
        <is>
          <t>Fringe 5990</t>
        </is>
      </c>
      <c r="J33" s="2" t="n">
        <v>4796.91</v>
      </c>
      <c r="K33" s="2" t="n">
        <v>4796.91</v>
      </c>
      <c r="L33" s="2" t="n">
        <v>4796.91</v>
      </c>
      <c r="M33" s="2" t="n">
        <v>4796.91</v>
      </c>
      <c r="N33" s="2" t="n">
        <v>4796.91</v>
      </c>
      <c r="O33" s="2" t="n">
        <v>4796.91</v>
      </c>
      <c r="P33" s="2" t="n">
        <v>4796.91</v>
      </c>
      <c r="Q33" s="2" t="n">
        <v>4796.91</v>
      </c>
      <c r="R33" s="2" t="n">
        <v>4796.91</v>
      </c>
      <c r="S33" s="2" t="n">
        <v>4796.91</v>
      </c>
      <c r="T33" s="2" t="n">
        <v>4796.91</v>
      </c>
      <c r="U33" s="2" t="n">
        <v>4796.91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245750.22</v>
      </c>
      <c r="O35" s="2" t="n">
        <v>737250.66</v>
      </c>
      <c r="P35" s="2" t="n">
        <v>737250.66</v>
      </c>
      <c r="Q35" s="2" t="n">
        <v>737250.66</v>
      </c>
      <c r="R35" s="2" t="n">
        <v>737250.66</v>
      </c>
      <c r="S35" s="2" t="n">
        <v>6885.06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9163.299999999999</v>
      </c>
      <c r="K43" s="2" t="n">
        <v>9163.299999999999</v>
      </c>
      <c r="L43" s="2" t="n">
        <v>9163.299999999999</v>
      </c>
      <c r="M43" s="2" t="n">
        <v>9163.299999999999</v>
      </c>
      <c r="N43" s="2" t="n">
        <v>9163.299999999999</v>
      </c>
      <c r="O43" s="2" t="n">
        <v>9163.299999999999</v>
      </c>
      <c r="P43" s="2" t="n">
        <v>9163.299999999999</v>
      </c>
      <c r="Q43" s="2" t="n">
        <v>9163.299999999999</v>
      </c>
      <c r="R43" s="2" t="n">
        <v>9163.299999999999</v>
      </c>
      <c r="S43" s="2" t="n">
        <v>9163.299999999999</v>
      </c>
      <c r="T43" s="2" t="n">
        <v>9163.299999999999</v>
      </c>
      <c r="U43" s="2" t="n">
        <v>9163.299999999999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3515000</v>
      </c>
      <c r="AE45" s="10">
        <f>SUM(C45:AD45)</f>
        <v/>
      </c>
    </row>
    <row r="46">
      <c r="B46" t="inlineStr">
        <is>
          <t>Obligated</t>
        </is>
      </c>
      <c r="J46" s="2" t="n">
        <v>3515000</v>
      </c>
      <c r="AE46" s="10">
        <f>SUM(C46:AD46)</f>
        <v/>
      </c>
    </row>
    <row r="47">
      <c r="B47" t="inlineStr">
        <is>
          <t>Expended</t>
        </is>
      </c>
      <c r="K47" s="2" t="n">
        <v>2500000</v>
      </c>
      <c r="L47" s="2" t="n">
        <v>200000</v>
      </c>
      <c r="N47" s="2" t="n">
        <v>200000</v>
      </c>
      <c r="O47" s="2" t="n">
        <v>153750</v>
      </c>
      <c r="P47" s="2" t="n">
        <v>200000</v>
      </c>
      <c r="Q47" s="2" t="n">
        <v>261250</v>
      </c>
      <c r="S47" s="2" t="n">
        <v>-85000</v>
      </c>
      <c r="T47" s="2" t="n">
        <v>85000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2ADP031</t>
        </is>
      </c>
    </row>
    <row r="4">
      <c r="A4" s="1" t="inlineStr">
        <is>
          <t>ROLLUP #</t>
        </is>
      </c>
      <c r="B4" t="inlineStr">
        <is>
          <t>713078</t>
        </is>
      </c>
    </row>
    <row r="5">
      <c r="A5" s="1" t="inlineStr">
        <is>
          <t>PROJECT NAME</t>
        </is>
      </c>
      <c r="B5" t="inlineStr">
        <is>
          <t>Civil Military Collaboration Initiative Phase IV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433.69</v>
      </c>
      <c r="N18" s="2" t="n">
        <v>30556.91</v>
      </c>
      <c r="AE18" s="10">
        <f>SUM(C18:AD18)</f>
        <v/>
      </c>
    </row>
    <row r="19">
      <c r="B19" t="inlineStr">
        <is>
          <t>Fringe 5990</t>
        </is>
      </c>
      <c r="J19" s="2" t="n">
        <v>171.18</v>
      </c>
      <c r="N19" s="2" t="n">
        <v>13115.02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552000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326.99</v>
      </c>
      <c r="N29" s="2" t="n">
        <v>56396.2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5494.67</v>
      </c>
      <c r="K32" s="2" t="n">
        <v>5494.67</v>
      </c>
      <c r="L32" s="2" t="n">
        <v>5494.67</v>
      </c>
      <c r="M32" s="2" t="n">
        <v>5494.67</v>
      </c>
      <c r="N32" s="2" t="n">
        <v>5494.67</v>
      </c>
      <c r="O32" s="2" t="n">
        <v>5494.67</v>
      </c>
      <c r="AE32" s="10">
        <f>SUM(C32:AD32)</f>
        <v/>
      </c>
    </row>
    <row r="33">
      <c r="B33" t="inlineStr">
        <is>
          <t>Fringe 5990</t>
        </is>
      </c>
      <c r="J33" s="2" t="n">
        <v>2305.5</v>
      </c>
      <c r="K33" s="2" t="n">
        <v>2305.5</v>
      </c>
      <c r="L33" s="2" t="n">
        <v>2305.5</v>
      </c>
      <c r="M33" s="2" t="n">
        <v>2305.5</v>
      </c>
      <c r="N33" s="2" t="n">
        <v>2305.5</v>
      </c>
      <c r="O33" s="2" t="n">
        <v>2305.5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92000</v>
      </c>
      <c r="K35" s="2" t="n">
        <v>92000</v>
      </c>
      <c r="L35" s="2" t="n">
        <v>92000</v>
      </c>
      <c r="M35" s="2" t="n">
        <v>92000</v>
      </c>
      <c r="N35" s="2" t="n">
        <v>92000</v>
      </c>
      <c r="O35" s="2" t="n">
        <v>92000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9033.17</v>
      </c>
      <c r="K43" s="2" t="n">
        <v>9033.17</v>
      </c>
      <c r="L43" s="2" t="n">
        <v>9033.17</v>
      </c>
      <c r="M43" s="2" t="n">
        <v>9033.17</v>
      </c>
      <c r="N43" s="2" t="n">
        <v>9033.17</v>
      </c>
      <c r="O43" s="2" t="n">
        <v>9033.17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653000</v>
      </c>
      <c r="AE45" s="10">
        <f>SUM(C45:AD45)</f>
        <v/>
      </c>
    </row>
    <row r="46">
      <c r="B46" t="inlineStr">
        <is>
          <t>Obligated</t>
        </is>
      </c>
      <c r="J46" s="2" t="n">
        <v>653000</v>
      </c>
      <c r="AE46" s="10">
        <f>SUM(C46:AD46)</f>
        <v/>
      </c>
    </row>
    <row r="47">
      <c r="B47" t="inlineStr">
        <is>
          <t>Expended</t>
        </is>
      </c>
      <c r="K47" s="2" t="n">
        <v>325000</v>
      </c>
      <c r="L47" s="2" t="n">
        <v>164000</v>
      </c>
      <c r="M47" s="2" t="n">
        <v>164000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2ADP033</t>
        </is>
      </c>
    </row>
    <row r="4">
      <c r="A4" s="1" t="inlineStr">
        <is>
          <t>ROLLUP #</t>
        </is>
      </c>
      <c r="B4" t="inlineStr">
        <is>
          <t>1033</t>
        </is>
      </c>
    </row>
    <row r="5">
      <c r="A5" s="1" t="inlineStr">
        <is>
          <t>PROJECT NAME</t>
        </is>
      </c>
      <c r="B5" t="inlineStr">
        <is>
          <t>OSD CII FHE Ecosystem PHII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44301.42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258363.33</v>
      </c>
      <c r="O18" s="2" t="n">
        <v>39901.17</v>
      </c>
      <c r="P18" s="2" t="n">
        <v>89601.34</v>
      </c>
      <c r="Q18" s="2" t="n">
        <v>87282.75999999999</v>
      </c>
      <c r="R18" s="2" t="n">
        <v>91217.35000000001</v>
      </c>
      <c r="S18" s="2" t="n">
        <v>88712.36</v>
      </c>
      <c r="T18" s="2" t="n">
        <v>51665.08</v>
      </c>
      <c r="U18" s="2" t="n">
        <v>5073.34</v>
      </c>
      <c r="V18" s="2" t="n">
        <v>-92599.28999999999</v>
      </c>
      <c r="W18" s="2" t="n">
        <v>38</v>
      </c>
      <c r="X18" s="2" t="n">
        <v>4779.38</v>
      </c>
      <c r="Y18" s="2" t="n">
        <v>7320.53</v>
      </c>
      <c r="Z18" s="2" t="n">
        <v>6629.43</v>
      </c>
      <c r="AA18" s="2" t="n">
        <v>3069.12</v>
      </c>
      <c r="AE18" s="10">
        <f>SUM(C18:AD18)</f>
        <v/>
      </c>
    </row>
    <row r="19">
      <c r="B19" t="inlineStr">
        <is>
          <t>Fringe 5990</t>
        </is>
      </c>
      <c r="N19" s="2" t="n">
        <v>110889.56</v>
      </c>
      <c r="O19" s="2" t="n">
        <v>18067.24</v>
      </c>
      <c r="P19" s="2" t="n">
        <v>40571.48</v>
      </c>
      <c r="Q19" s="2" t="n">
        <v>39521.64</v>
      </c>
      <c r="R19" s="2" t="n">
        <v>41303.22</v>
      </c>
      <c r="S19" s="2" t="n">
        <v>40168.96</v>
      </c>
      <c r="T19" s="2" t="n">
        <v>27352.59</v>
      </c>
      <c r="U19" s="2" t="n">
        <v>2440.29</v>
      </c>
      <c r="V19" s="2" t="n">
        <v>-44540.25</v>
      </c>
      <c r="W19" s="2" t="n">
        <v>19.1</v>
      </c>
      <c r="X19" s="2" t="n">
        <v>2402.12</v>
      </c>
      <c r="Y19" s="2" t="n">
        <v>3679.29</v>
      </c>
      <c r="Z19" s="2" t="n">
        <v>3331.95</v>
      </c>
      <c r="AA19" s="2" t="n">
        <v>1661.32</v>
      </c>
      <c r="AE19" s="10">
        <f>SUM(C19:AD19)</f>
        <v/>
      </c>
    </row>
    <row r="20">
      <c r="B20" t="inlineStr">
        <is>
          <t>Travel 5004</t>
        </is>
      </c>
      <c r="R20" s="2" t="n">
        <v>2626.28</v>
      </c>
      <c r="AE20" s="10">
        <f>SUM(C20:AD20)</f>
        <v/>
      </c>
    </row>
    <row r="21">
      <c r="B21" t="inlineStr">
        <is>
          <t>Subcontracting 5005</t>
        </is>
      </c>
      <c r="O21" s="2" t="n">
        <v>20188.03</v>
      </c>
      <c r="P21" s="2" t="n">
        <v>106204.28</v>
      </c>
      <c r="Q21" s="2" t="n">
        <v>312701.23</v>
      </c>
      <c r="R21" s="2" t="n">
        <v>1011209.79</v>
      </c>
      <c r="S21" s="2" t="n">
        <v>103398.63</v>
      </c>
      <c r="T21" s="2" t="n">
        <v>471397.73</v>
      </c>
      <c r="U21" s="2" t="n">
        <v>1394610.65</v>
      </c>
      <c r="V21" s="2" t="n">
        <v>989834.49</v>
      </c>
      <c r="W21" s="2" t="n">
        <v>13306.47</v>
      </c>
      <c r="X21" s="2" t="n">
        <v>295940.57</v>
      </c>
      <c r="Y21" s="2" t="n">
        <v>483224.43</v>
      </c>
      <c r="Z21" s="2" t="n">
        <v>201973.12</v>
      </c>
      <c r="AB21" s="2" t="n">
        <v>233007.5</v>
      </c>
      <c r="AE21" s="10">
        <f>SUM(C21:AD21)</f>
        <v/>
      </c>
    </row>
    <row r="22">
      <c r="B22" t="inlineStr">
        <is>
          <t>Consulting 5002</t>
        </is>
      </c>
      <c r="AA22" s="2" t="n">
        <v>2100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22.71</v>
      </c>
      <c r="T25" s="2" t="n">
        <v>30.32</v>
      </c>
      <c r="U25" s="2" t="n">
        <v>586.89</v>
      </c>
      <c r="AE25" s="10">
        <f>SUM(C25:AD25)</f>
        <v/>
      </c>
    </row>
    <row r="26">
      <c r="B26" t="inlineStr">
        <is>
          <t>Material 5003</t>
        </is>
      </c>
      <c r="Q26" s="2" t="n">
        <v>175.12</v>
      </c>
      <c r="S26" s="2" t="n">
        <v>3641.75</v>
      </c>
      <c r="T26" s="2" t="n">
        <v>392.3</v>
      </c>
      <c r="AE26" s="10">
        <f>SUM(C26:AD26)</f>
        <v/>
      </c>
    </row>
    <row r="27">
      <c r="B27" t="inlineStr">
        <is>
          <t>Sub K Overhead 5992</t>
        </is>
      </c>
      <c r="O27" s="2" t="n">
        <v>571.33</v>
      </c>
      <c r="P27" s="2" t="n">
        <v>3005.57</v>
      </c>
      <c r="Q27" s="2" t="n">
        <v>8849.450000000001</v>
      </c>
      <c r="R27" s="2" t="n">
        <v>28271.16</v>
      </c>
      <c r="S27" s="2" t="n">
        <v>3272.25</v>
      </c>
      <c r="T27" s="2" t="n">
        <v>14316.51</v>
      </c>
      <c r="U27" s="2" t="n">
        <v>42675.08</v>
      </c>
      <c r="V27" s="2" t="n">
        <v>30288.92</v>
      </c>
      <c r="W27" s="2" t="n">
        <v>389.88</v>
      </c>
      <c r="X27" s="2" t="n">
        <v>8671.059999999999</v>
      </c>
      <c r="Y27" s="2" t="n">
        <v>14158.48</v>
      </c>
      <c r="Z27" s="2" t="n">
        <v>5917.82</v>
      </c>
      <c r="AB27" s="2" t="n">
        <v>7060.13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476853.15</v>
      </c>
      <c r="O29" s="2" t="n">
        <v>83891.89999999999</v>
      </c>
      <c r="P29" s="2" t="n">
        <v>188386.11</v>
      </c>
      <c r="Q29" s="2" t="n">
        <v>183764.74</v>
      </c>
      <c r="R29" s="2" t="n">
        <v>195617.36</v>
      </c>
      <c r="S29" s="2" t="n">
        <v>191787.34</v>
      </c>
      <c r="T29" s="2" t="n">
        <v>86711.27</v>
      </c>
      <c r="U29" s="2" t="n">
        <v>10643.25</v>
      </c>
      <c r="V29" s="2" t="n">
        <v>-180187.67</v>
      </c>
      <c r="W29" s="2" t="n">
        <v>75.81999999999999</v>
      </c>
      <c r="X29" s="2" t="n">
        <v>9536.309999999999</v>
      </c>
      <c r="Y29" s="2" t="n">
        <v>14606.66</v>
      </c>
      <c r="Z29" s="2" t="n">
        <v>13227.72</v>
      </c>
      <c r="AA29" s="2" t="n">
        <v>9307.16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171187.05</v>
      </c>
      <c r="L32" s="2" t="n">
        <v>29746.05</v>
      </c>
      <c r="M32" s="2" t="n">
        <v>29746.05</v>
      </c>
      <c r="N32" s="2" t="n">
        <v>29746.05</v>
      </c>
      <c r="O32" s="2" t="n">
        <v>29746.05</v>
      </c>
      <c r="P32" s="2" t="n">
        <v>29746.05</v>
      </c>
      <c r="Q32" s="2" t="n">
        <v>29746.05</v>
      </c>
      <c r="R32" s="2" t="n">
        <v>29746.05</v>
      </c>
      <c r="S32" s="2" t="n">
        <v>29746.05</v>
      </c>
      <c r="T32" s="2" t="n">
        <v>29746.05</v>
      </c>
      <c r="U32" s="2" t="n">
        <v>29746.05</v>
      </c>
      <c r="V32" s="2" t="n">
        <v>29746.05</v>
      </c>
      <c r="W32" s="2" t="n">
        <v>29746.05</v>
      </c>
      <c r="X32" s="2" t="n">
        <v>29746.05</v>
      </c>
      <c r="Y32" s="2" t="n">
        <v>29746.05</v>
      </c>
      <c r="Z32" s="2" t="n">
        <v>29746.05</v>
      </c>
      <c r="AA32" s="2" t="n">
        <v>29746.05</v>
      </c>
      <c r="AB32" s="2" t="n">
        <v>29746.05</v>
      </c>
      <c r="AC32" s="2" t="n">
        <v>29746.05</v>
      </c>
      <c r="AD32" s="2" t="n">
        <v>29746.05</v>
      </c>
      <c r="AE32" s="10">
        <f>SUM(C32:AD32)</f>
        <v/>
      </c>
    </row>
    <row r="33">
      <c r="B33" t="inlineStr">
        <is>
          <t>Fringe 5990</t>
        </is>
      </c>
      <c r="K33" s="2" t="n">
        <v>80800.00999999999</v>
      </c>
      <c r="L33" s="2" t="n">
        <v>12767.01</v>
      </c>
      <c r="M33" s="2" t="n">
        <v>12767.01</v>
      </c>
      <c r="N33" s="2" t="n">
        <v>12767.01</v>
      </c>
      <c r="O33" s="2" t="n">
        <v>12767.01</v>
      </c>
      <c r="P33" s="2" t="n">
        <v>12767.01</v>
      </c>
      <c r="Q33" s="2" t="n">
        <v>12767.01</v>
      </c>
      <c r="R33" s="2" t="n">
        <v>12767.01</v>
      </c>
      <c r="S33" s="2" t="n">
        <v>12767.01</v>
      </c>
      <c r="T33" s="2" t="n">
        <v>12767.01</v>
      </c>
      <c r="U33" s="2" t="n">
        <v>12767.01</v>
      </c>
      <c r="V33" s="2" t="n">
        <v>12767.01</v>
      </c>
      <c r="W33" s="2" t="n">
        <v>12767.01</v>
      </c>
      <c r="X33" s="2" t="n">
        <v>12767.01</v>
      </c>
      <c r="Y33" s="2" t="n">
        <v>12767.01</v>
      </c>
      <c r="Z33" s="2" t="n">
        <v>12767.01</v>
      </c>
      <c r="AA33" s="2" t="n">
        <v>12767.01</v>
      </c>
      <c r="AB33" s="2" t="n">
        <v>12767.01</v>
      </c>
      <c r="AC33" s="2" t="n">
        <v>12767.01</v>
      </c>
      <c r="AD33" s="2" t="n">
        <v>12767.01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189141.69</v>
      </c>
      <c r="P35" s="2" t="n">
        <v>567425.0699999999</v>
      </c>
      <c r="Q35" s="2" t="n">
        <v>567425.0699999999</v>
      </c>
      <c r="R35" s="2" t="n">
        <v>567425.0699999999</v>
      </c>
      <c r="S35" s="2" t="n">
        <v>761834.01</v>
      </c>
      <c r="T35" s="2" t="n">
        <v>817389.5699999999</v>
      </c>
      <c r="U35" s="2" t="n">
        <v>817389.5699999999</v>
      </c>
      <c r="V35" s="2" t="n">
        <v>817389.5699999999</v>
      </c>
      <c r="W35" s="2" t="n">
        <v>249964.5</v>
      </c>
      <c r="X35" s="2" t="n">
        <v>312442.5</v>
      </c>
      <c r="Y35" s="2" t="n">
        <v>132751.56</v>
      </c>
      <c r="Z35" s="2" t="n">
        <v>77682</v>
      </c>
      <c r="AA35" s="2" t="n">
        <v>77196</v>
      </c>
      <c r="AB35" s="2" t="n">
        <v>40450</v>
      </c>
      <c r="AC35" s="2" t="n">
        <v>7359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5380.49</v>
      </c>
      <c r="P41" s="2" t="n">
        <v>16141.47</v>
      </c>
      <c r="Q41" s="2" t="n">
        <v>16141.47</v>
      </c>
      <c r="R41" s="2" t="n">
        <v>16141.47</v>
      </c>
      <c r="S41" s="2" t="n">
        <v>22090.3</v>
      </c>
      <c r="T41" s="2" t="n">
        <v>23790.3</v>
      </c>
      <c r="U41" s="2" t="n">
        <v>23790.3</v>
      </c>
      <c r="V41" s="2" t="n">
        <v>23790.3</v>
      </c>
      <c r="W41" s="2" t="n">
        <v>7648.83</v>
      </c>
      <c r="X41" s="2" t="n">
        <v>9479.459999999999</v>
      </c>
      <c r="Y41" s="2" t="n">
        <v>3961.91</v>
      </c>
      <c r="Z41" s="2" t="n">
        <v>2275.91</v>
      </c>
      <c r="AA41" s="2" t="n">
        <v>2261.91</v>
      </c>
      <c r="AB41" s="2" t="n">
        <v>1185.25</v>
      </c>
      <c r="AC41" s="2" t="n">
        <v>215.64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330127.37</v>
      </c>
      <c r="L43" s="2" t="n">
        <v>54901.37</v>
      </c>
      <c r="M43" s="2" t="n">
        <v>54901.37</v>
      </c>
      <c r="N43" s="2" t="n">
        <v>54901.37</v>
      </c>
      <c r="O43" s="2" t="n">
        <v>54901.37</v>
      </c>
      <c r="P43" s="2" t="n">
        <v>54901.37</v>
      </c>
      <c r="Q43" s="2" t="n">
        <v>54901.37</v>
      </c>
      <c r="R43" s="2" t="n">
        <v>54901.37</v>
      </c>
      <c r="S43" s="2" t="n">
        <v>54901.37</v>
      </c>
      <c r="T43" s="2" t="n">
        <v>54901.37</v>
      </c>
      <c r="U43" s="2" t="n">
        <v>54901.37</v>
      </c>
      <c r="V43" s="2" t="n">
        <v>54901.37</v>
      </c>
      <c r="W43" s="2" t="n">
        <v>54901.37</v>
      </c>
      <c r="X43" s="2" t="n">
        <v>54901.37</v>
      </c>
      <c r="Y43" s="2" t="n">
        <v>54901.37</v>
      </c>
      <c r="Z43" s="2" t="n">
        <v>54901.37</v>
      </c>
      <c r="AA43" s="2" t="n">
        <v>54901.37</v>
      </c>
      <c r="AB43" s="2" t="n">
        <v>54901.37</v>
      </c>
      <c r="AC43" s="2" t="n">
        <v>54901.37</v>
      </c>
      <c r="AD43" s="2" t="n">
        <v>54901.37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9359166</v>
      </c>
      <c r="AE45" s="10">
        <f>SUM(C45:AD45)</f>
        <v/>
      </c>
    </row>
    <row r="46">
      <c r="B46" t="inlineStr">
        <is>
          <t>Obligated</t>
        </is>
      </c>
      <c r="K46" s="2" t="n">
        <v>9359166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320000</v>
      </c>
      <c r="M47" s="2" t="n">
        <v>250000</v>
      </c>
      <c r="N47" s="2" t="n">
        <v>1000000</v>
      </c>
      <c r="O47" s="2" t="n">
        <v>1922291.5</v>
      </c>
      <c r="P47" s="2" t="n">
        <v>2000000</v>
      </c>
      <c r="Q47" s="2" t="n">
        <v>750000</v>
      </c>
      <c r="R47" s="2" t="n">
        <v>750000</v>
      </c>
      <c r="T47" s="2" t="n">
        <v>1200000</v>
      </c>
      <c r="U47" s="2" t="n">
        <v>300000</v>
      </c>
      <c r="V47" s="2" t="n">
        <v>300000</v>
      </c>
      <c r="W47" s="2" t="n">
        <v>466874.5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2ADP034</t>
        </is>
      </c>
    </row>
    <row r="4">
      <c r="A4" s="1" t="inlineStr">
        <is>
          <t>ROLLUP #</t>
        </is>
      </c>
      <c r="B4" t="inlineStr">
        <is>
          <t>1034</t>
        </is>
      </c>
    </row>
    <row r="5">
      <c r="A5" s="1" t="inlineStr">
        <is>
          <t>PROJECT NAME</t>
        </is>
      </c>
      <c r="B5" t="inlineStr">
        <is>
          <t>Novel Advanced Hybrid Electronics for FHE Dual Use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278.31</v>
      </c>
      <c r="Q18" s="2" t="n">
        <v>17291.55</v>
      </c>
      <c r="R18" s="2" t="n">
        <v>55234.85</v>
      </c>
      <c r="S18" s="2" t="n">
        <v>5822.47</v>
      </c>
      <c r="T18" s="2" t="n">
        <v>7132.57</v>
      </c>
      <c r="U18" s="2" t="n">
        <v>23423.07</v>
      </c>
      <c r="V18" s="2" t="n">
        <v>34596.84</v>
      </c>
      <c r="W18" s="2" t="n">
        <v>54008.38</v>
      </c>
      <c r="X18" s="2" t="n">
        <v>29290.32</v>
      </c>
      <c r="Y18" s="2" t="n">
        <v>14662.26</v>
      </c>
      <c r="AB18" s="2" t="n">
        <v>506.83</v>
      </c>
      <c r="AE18" s="10">
        <f>SUM(C18:AD18)</f>
        <v/>
      </c>
    </row>
    <row r="19">
      <c r="B19" t="inlineStr">
        <is>
          <t>Fringe 5990</t>
        </is>
      </c>
      <c r="N19" s="2" t="n">
        <v>119.46</v>
      </c>
      <c r="Q19" s="2" t="n">
        <v>7829.62</v>
      </c>
      <c r="R19" s="2" t="n">
        <v>25010.34</v>
      </c>
      <c r="S19" s="2" t="n">
        <v>2636.41</v>
      </c>
      <c r="T19" s="2" t="n">
        <v>3594.96</v>
      </c>
      <c r="U19" s="2" t="n">
        <v>11266.49</v>
      </c>
      <c r="V19" s="2" t="n">
        <v>16641.09</v>
      </c>
      <c r="W19" s="2" t="n">
        <v>27144.61</v>
      </c>
      <c r="X19" s="2" t="n">
        <v>14721.31</v>
      </c>
      <c r="Y19" s="2" t="n">
        <v>7369.25</v>
      </c>
      <c r="AB19" s="2" t="n">
        <v>274.35</v>
      </c>
      <c r="AE19" s="10">
        <f>SUM(C19:AD19)</f>
        <v/>
      </c>
    </row>
    <row r="20">
      <c r="B20" t="inlineStr">
        <is>
          <t>Travel 5004</t>
        </is>
      </c>
      <c r="Y20" s="2" t="n">
        <v>1021.18</v>
      </c>
      <c r="AE20" s="10">
        <f>SUM(C20:AD20)</f>
        <v/>
      </c>
    </row>
    <row r="21">
      <c r="B21" t="inlineStr">
        <is>
          <t>Subcontracting 5005</t>
        </is>
      </c>
      <c r="T21" s="2" t="n">
        <v>126108.15</v>
      </c>
      <c r="U21" s="2" t="n">
        <v>433077.49</v>
      </c>
      <c r="V21" s="2" t="n">
        <v>354179.18</v>
      </c>
      <c r="W21" s="2" t="n">
        <v>190502.01</v>
      </c>
      <c r="X21" s="2" t="n">
        <v>313116.9</v>
      </c>
      <c r="Y21" s="2" t="n">
        <v>298988.92</v>
      </c>
      <c r="Z21" s="2" t="n">
        <v>122442.44</v>
      </c>
      <c r="AA21" s="2" t="n">
        <v>41247.75</v>
      </c>
      <c r="AE21" s="10">
        <f>SUM(C21:AD21)</f>
        <v/>
      </c>
    </row>
    <row r="22">
      <c r="B22" t="inlineStr">
        <is>
          <t>Consulting 5002</t>
        </is>
      </c>
      <c r="Q22" s="2" t="n">
        <v>1233.75</v>
      </c>
      <c r="R22" s="2" t="n">
        <v>52.5</v>
      </c>
      <c r="AE22" s="10">
        <f>SUM(C22:AD22)</f>
        <v/>
      </c>
    </row>
    <row r="23">
      <c r="B23" t="inlineStr">
        <is>
          <t>Equipment 5010</t>
        </is>
      </c>
      <c r="S23" s="2" t="n">
        <v>58532.37</v>
      </c>
      <c r="T23" s="2" t="n">
        <v>638017.5600000001</v>
      </c>
      <c r="U23" s="2" t="n">
        <v>177000</v>
      </c>
      <c r="V23" s="2" t="n">
        <v>131012</v>
      </c>
      <c r="AE23" s="10">
        <f>SUM(C23:AD23)</f>
        <v/>
      </c>
    </row>
    <row r="24">
      <c r="B24" t="inlineStr">
        <is>
          <t>Equipment 5008</t>
        </is>
      </c>
      <c r="N24" s="2" t="n">
        <v>245090.39</v>
      </c>
      <c r="AE24" s="10">
        <f>SUM(C24:AD24)</f>
        <v/>
      </c>
    </row>
    <row r="25">
      <c r="B25" t="inlineStr">
        <is>
          <t>Other Direct Costs 5009</t>
        </is>
      </c>
      <c r="R25" s="2" t="n">
        <v>30.92</v>
      </c>
      <c r="T25" s="2" t="n">
        <v>443.33</v>
      </c>
      <c r="U25" s="2" t="n">
        <v>1511.11</v>
      </c>
      <c r="V25" s="2" t="n">
        <v>355.66</v>
      </c>
      <c r="W25" s="2" t="n">
        <v>315.21</v>
      </c>
      <c r="X25" s="2" t="n">
        <v>23.14</v>
      </c>
      <c r="Y25" s="2" t="n">
        <v>500</v>
      </c>
      <c r="AE25" s="10">
        <f>SUM(C25:AD25)</f>
        <v/>
      </c>
    </row>
    <row r="26">
      <c r="B26" t="inlineStr">
        <is>
          <t>Material 5003</t>
        </is>
      </c>
      <c r="Q26" s="2" t="n">
        <v>71.5</v>
      </c>
      <c r="R26" s="2" t="n">
        <v>12485.84</v>
      </c>
      <c r="S26" s="2" t="n">
        <v>306.37</v>
      </c>
      <c r="T26" s="2" t="n">
        <v>3453.82</v>
      </c>
      <c r="U26" s="2" t="n">
        <v>6701.57</v>
      </c>
      <c r="V26" s="2" t="n">
        <v>2165.72</v>
      </c>
      <c r="W26" s="2" t="n">
        <v>2885.52</v>
      </c>
      <c r="X26" s="2" t="n">
        <v>64.38</v>
      </c>
      <c r="Y26" s="2" t="n">
        <v>2590</v>
      </c>
      <c r="AE26" s="10">
        <f>SUM(C26:AD26)</f>
        <v/>
      </c>
    </row>
    <row r="27">
      <c r="B27" t="inlineStr">
        <is>
          <t>Sub K Overhead 5992</t>
        </is>
      </c>
      <c r="T27" s="2" t="n">
        <v>3858.91</v>
      </c>
      <c r="U27" s="2" t="n">
        <v>13252.17</v>
      </c>
      <c r="V27" s="2" t="n">
        <v>10837.88</v>
      </c>
      <c r="W27" s="2" t="n">
        <v>5581.71</v>
      </c>
      <c r="X27" s="2" t="n">
        <v>9174.32</v>
      </c>
      <c r="Y27" s="2" t="n">
        <v>8760.389999999999</v>
      </c>
      <c r="Z27" s="2" t="n">
        <v>3587.57</v>
      </c>
      <c r="AA27" s="2" t="n">
        <v>1249.81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513.67</v>
      </c>
      <c r="Q29" s="2" t="n">
        <v>38244.31</v>
      </c>
      <c r="R29" s="2" t="n">
        <v>134321.07</v>
      </c>
      <c r="S29" s="2" t="n">
        <v>12685.05</v>
      </c>
      <c r="T29" s="2" t="n">
        <v>18046.96</v>
      </c>
      <c r="U29" s="2" t="n">
        <v>56369.26</v>
      </c>
      <c r="V29" s="2" t="n">
        <v>70634.36</v>
      </c>
      <c r="W29" s="2" t="n">
        <v>112013.31</v>
      </c>
      <c r="X29" s="2" t="n">
        <v>58559.26</v>
      </c>
      <c r="Y29" s="2" t="n">
        <v>34714.87</v>
      </c>
      <c r="AB29" s="2" t="n">
        <v>1064.44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14134.21</v>
      </c>
      <c r="K32" s="2" t="n">
        <v>14134.21</v>
      </c>
      <c r="L32" s="2" t="n">
        <v>14134.21</v>
      </c>
      <c r="M32" s="2" t="n">
        <v>14134.21</v>
      </c>
      <c r="N32" s="2" t="n">
        <v>14134.21</v>
      </c>
      <c r="O32" s="2" t="n">
        <v>14134.21</v>
      </c>
      <c r="P32" s="2" t="n">
        <v>14134.21</v>
      </c>
      <c r="Q32" s="2" t="n">
        <v>14134.21</v>
      </c>
      <c r="R32" s="2" t="n">
        <v>14134.21</v>
      </c>
      <c r="S32" s="2" t="n">
        <v>14134.21</v>
      </c>
      <c r="T32" s="2" t="n">
        <v>14134.21</v>
      </c>
      <c r="U32" s="2" t="n">
        <v>14134.21</v>
      </c>
      <c r="V32" s="2" t="n">
        <v>14134.21</v>
      </c>
      <c r="W32" s="2" t="n">
        <v>14134.21</v>
      </c>
      <c r="X32" s="2" t="n">
        <v>14134.21</v>
      </c>
      <c r="Y32" s="2" t="n">
        <v>11746</v>
      </c>
      <c r="Z32" s="2" t="n">
        <v>11746</v>
      </c>
      <c r="AA32" s="2" t="n">
        <v>11746</v>
      </c>
      <c r="AB32" s="2" t="n">
        <v>11746</v>
      </c>
      <c r="AE32" s="10">
        <f>SUM(C32:AD32)</f>
        <v/>
      </c>
    </row>
    <row r="33">
      <c r="B33" t="inlineStr">
        <is>
          <t>Fringe 5990</t>
        </is>
      </c>
      <c r="J33" s="2" t="n">
        <v>6357.13</v>
      </c>
      <c r="K33" s="2" t="n">
        <v>6357.13</v>
      </c>
      <c r="L33" s="2" t="n">
        <v>6357.13</v>
      </c>
      <c r="M33" s="2" t="n">
        <v>6357.13</v>
      </c>
      <c r="N33" s="2" t="n">
        <v>6357.13</v>
      </c>
      <c r="O33" s="2" t="n">
        <v>6357.13</v>
      </c>
      <c r="P33" s="2" t="n">
        <v>6357.13</v>
      </c>
      <c r="Q33" s="2" t="n">
        <v>6357.13</v>
      </c>
      <c r="R33" s="2" t="n">
        <v>6357.13</v>
      </c>
      <c r="S33" s="2" t="n">
        <v>6357.13</v>
      </c>
      <c r="T33" s="2" t="n">
        <v>6357.13</v>
      </c>
      <c r="U33" s="2" t="n">
        <v>6357.13</v>
      </c>
      <c r="V33" s="2" t="n">
        <v>6357.13</v>
      </c>
      <c r="W33" s="2" t="n">
        <v>6357.13</v>
      </c>
      <c r="X33" s="2" t="n">
        <v>6357.13</v>
      </c>
      <c r="Y33" s="2" t="n">
        <v>5275.76</v>
      </c>
      <c r="Z33" s="2" t="n">
        <v>5275.76</v>
      </c>
      <c r="AA33" s="2" t="n">
        <v>5275.76</v>
      </c>
      <c r="AB33" s="2" t="n">
        <v>5275.76</v>
      </c>
      <c r="AE33" s="10">
        <f>SUM(C33:AD33)</f>
        <v/>
      </c>
    </row>
    <row r="34">
      <c r="B34" t="inlineStr">
        <is>
          <t>Travel 5004</t>
        </is>
      </c>
      <c r="J34" s="2" t="n">
        <v>55.26</v>
      </c>
      <c r="K34" s="2" t="n">
        <v>55.26</v>
      </c>
      <c r="L34" s="2" t="n">
        <v>55.26</v>
      </c>
      <c r="M34" s="2" t="n">
        <v>55.26</v>
      </c>
      <c r="N34" s="2" t="n">
        <v>55.26</v>
      </c>
      <c r="O34" s="2" t="n">
        <v>55.26</v>
      </c>
      <c r="P34" s="2" t="n">
        <v>55.26</v>
      </c>
      <c r="Q34" s="2" t="n">
        <v>55.26</v>
      </c>
      <c r="R34" s="2" t="n">
        <v>55.26</v>
      </c>
      <c r="S34" s="2" t="n">
        <v>55.26</v>
      </c>
      <c r="T34" s="2" t="n">
        <v>55.26</v>
      </c>
      <c r="U34" s="2" t="n">
        <v>55.26</v>
      </c>
      <c r="V34" s="2" t="n">
        <v>55.26</v>
      </c>
      <c r="W34" s="2" t="n">
        <v>55.26</v>
      </c>
      <c r="X34" s="2" t="n">
        <v>55.26</v>
      </c>
      <c r="AE34" s="10">
        <f>SUM(C34:AD34)</f>
        <v/>
      </c>
    </row>
    <row r="35">
      <c r="B35" t="inlineStr">
        <is>
          <t>Subcontracting 5005</t>
        </is>
      </c>
      <c r="S35" s="2" t="n">
        <v>79381.92</v>
      </c>
      <c r="T35" s="2" t="n">
        <v>248559.26</v>
      </c>
      <c r="U35" s="2" t="n">
        <v>456808.02</v>
      </c>
      <c r="V35" s="2" t="n">
        <v>456808.02</v>
      </c>
      <c r="W35" s="2" t="n">
        <v>377426.1</v>
      </c>
      <c r="X35" s="2" t="n">
        <v>208248.76</v>
      </c>
      <c r="Y35" s="2" t="n">
        <v>62473.92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J37" s="2" t="n">
        <v>53038.79</v>
      </c>
      <c r="K37" s="2" t="n">
        <v>53038.79</v>
      </c>
      <c r="L37" s="2" t="n">
        <v>53038.79</v>
      </c>
      <c r="M37" s="2" t="n">
        <v>53038.79</v>
      </c>
      <c r="N37" s="2" t="n">
        <v>53038.79</v>
      </c>
      <c r="O37" s="2" t="n">
        <v>53038.79</v>
      </c>
      <c r="P37" s="2" t="n">
        <v>53038.79</v>
      </c>
      <c r="Q37" s="2" t="n">
        <v>53038.79</v>
      </c>
      <c r="R37" s="2" t="n">
        <v>53038.79</v>
      </c>
      <c r="S37" s="2" t="n">
        <v>53038.79</v>
      </c>
      <c r="T37" s="2" t="n">
        <v>53038.79</v>
      </c>
      <c r="U37" s="2" t="n">
        <v>53038.79</v>
      </c>
      <c r="V37" s="2" t="n">
        <v>53038.79</v>
      </c>
      <c r="W37" s="2" t="n">
        <v>53038.79</v>
      </c>
      <c r="X37" s="2" t="n">
        <v>53038.79</v>
      </c>
      <c r="AE37" s="10">
        <f>SUM(C37:AD37)</f>
        <v/>
      </c>
    </row>
    <row r="38">
      <c r="B38" t="inlineStr">
        <is>
          <t>Equipment 5008</t>
        </is>
      </c>
      <c r="J38" s="2" t="n">
        <v>12899.47</v>
      </c>
      <c r="K38" s="2" t="n">
        <v>12899.47</v>
      </c>
      <c r="L38" s="2" t="n">
        <v>12899.47</v>
      </c>
      <c r="M38" s="2" t="n">
        <v>12899.47</v>
      </c>
      <c r="N38" s="2" t="n">
        <v>12899.47</v>
      </c>
      <c r="O38" s="2" t="n">
        <v>12899.47</v>
      </c>
      <c r="P38" s="2" t="n">
        <v>12899.47</v>
      </c>
      <c r="Q38" s="2" t="n">
        <v>12899.47</v>
      </c>
      <c r="R38" s="2" t="n">
        <v>12899.47</v>
      </c>
      <c r="S38" s="2" t="n">
        <v>12899.47</v>
      </c>
      <c r="T38" s="2" t="n">
        <v>12899.47</v>
      </c>
      <c r="U38" s="2" t="n">
        <v>12899.47</v>
      </c>
      <c r="V38" s="2" t="n">
        <v>12899.47</v>
      </c>
      <c r="W38" s="2" t="n">
        <v>12899.47</v>
      </c>
      <c r="X38" s="2" t="n">
        <v>12899.47</v>
      </c>
      <c r="Y38" s="2" t="n">
        <v>12899.47</v>
      </c>
      <c r="Z38" s="2" t="n">
        <v>12899.47</v>
      </c>
      <c r="AA38" s="2" t="n">
        <v>12899.47</v>
      </c>
      <c r="AB38" s="2" t="n">
        <v>12899.54</v>
      </c>
      <c r="AE38" s="10">
        <f>SUM(C38:AD38)</f>
        <v/>
      </c>
    </row>
    <row r="39">
      <c r="B39" t="inlineStr">
        <is>
          <t>Other Direct Costs 5009</t>
        </is>
      </c>
      <c r="J39" s="2" t="n">
        <v>239.48</v>
      </c>
      <c r="K39" s="2" t="n">
        <v>239.48</v>
      </c>
      <c r="L39" s="2" t="n">
        <v>239.48</v>
      </c>
      <c r="M39" s="2" t="n">
        <v>239.48</v>
      </c>
      <c r="N39" s="2" t="n">
        <v>239.48</v>
      </c>
      <c r="O39" s="2" t="n">
        <v>239.48</v>
      </c>
      <c r="P39" s="2" t="n">
        <v>239.48</v>
      </c>
      <c r="Q39" s="2" t="n">
        <v>239.48</v>
      </c>
      <c r="R39" s="2" t="n">
        <v>239.48</v>
      </c>
      <c r="S39" s="2" t="n">
        <v>239.48</v>
      </c>
      <c r="T39" s="2" t="n">
        <v>239.48</v>
      </c>
      <c r="U39" s="2" t="n">
        <v>239.48</v>
      </c>
      <c r="V39" s="2" t="n">
        <v>239.48</v>
      </c>
      <c r="W39" s="2" t="n">
        <v>239.48</v>
      </c>
      <c r="X39" s="2" t="n">
        <v>239.48</v>
      </c>
      <c r="Y39" s="2" t="n">
        <v>210.53</v>
      </c>
      <c r="Z39" s="2" t="n">
        <v>210.53</v>
      </c>
      <c r="AA39" s="2" t="n">
        <v>210.53</v>
      </c>
      <c r="AB39" s="2" t="n">
        <v>210.53</v>
      </c>
      <c r="AE39" s="10">
        <f>SUM(C39:AD39)</f>
        <v/>
      </c>
    </row>
    <row r="40">
      <c r="B40" t="inlineStr">
        <is>
          <t>Material 5003</t>
        </is>
      </c>
      <c r="J40" s="2" t="n">
        <v>1578.95</v>
      </c>
      <c r="K40" s="2" t="n">
        <v>1578.95</v>
      </c>
      <c r="L40" s="2" t="n">
        <v>1578.95</v>
      </c>
      <c r="M40" s="2" t="n">
        <v>1578.95</v>
      </c>
      <c r="N40" s="2" t="n">
        <v>1578.95</v>
      </c>
      <c r="O40" s="2" t="n">
        <v>1578.95</v>
      </c>
      <c r="P40" s="2" t="n">
        <v>1578.95</v>
      </c>
      <c r="Q40" s="2" t="n">
        <v>1578.95</v>
      </c>
      <c r="R40" s="2" t="n">
        <v>1578.95</v>
      </c>
      <c r="S40" s="2" t="n">
        <v>1578.95</v>
      </c>
      <c r="T40" s="2" t="n">
        <v>1578.95</v>
      </c>
      <c r="U40" s="2" t="n">
        <v>1578.95</v>
      </c>
      <c r="V40" s="2" t="n">
        <v>1578.95</v>
      </c>
      <c r="W40" s="2" t="n">
        <v>1578.95</v>
      </c>
      <c r="X40" s="2" t="n">
        <v>1578.95</v>
      </c>
      <c r="Y40" s="2" t="n">
        <v>1578.95</v>
      </c>
      <c r="Z40" s="2" t="n">
        <v>1578.95</v>
      </c>
      <c r="AA40" s="2" t="n">
        <v>1578.95</v>
      </c>
      <c r="AB40" s="2" t="n">
        <v>1578.95</v>
      </c>
      <c r="AE40" s="10">
        <f>SUM(C40:AD40)</f>
        <v/>
      </c>
    </row>
    <row r="41">
      <c r="B41" t="inlineStr">
        <is>
          <t>Sub K Overhead 5992</t>
        </is>
      </c>
      <c r="S41" s="2" t="n">
        <v>2429.08</v>
      </c>
      <c r="T41" s="2" t="n">
        <v>7605.91</v>
      </c>
      <c r="U41" s="2" t="n">
        <v>13978.56</v>
      </c>
      <c r="V41" s="2" t="n">
        <v>13978.56</v>
      </c>
      <c r="W41" s="2" t="n">
        <v>11549.48</v>
      </c>
      <c r="X41" s="2" t="n">
        <v>6372.65</v>
      </c>
      <c r="Y41" s="2" t="n">
        <v>1911.77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26458.19</v>
      </c>
      <c r="K43" s="2" t="n">
        <v>26458.19</v>
      </c>
      <c r="L43" s="2" t="n">
        <v>26458.19</v>
      </c>
      <c r="M43" s="2" t="n">
        <v>26458.19</v>
      </c>
      <c r="N43" s="2" t="n">
        <v>26458.19</v>
      </c>
      <c r="O43" s="2" t="n">
        <v>26458.19</v>
      </c>
      <c r="P43" s="2" t="n">
        <v>26458.19</v>
      </c>
      <c r="Q43" s="2" t="n">
        <v>26458.19</v>
      </c>
      <c r="R43" s="2" t="n">
        <v>26458.19</v>
      </c>
      <c r="S43" s="2" t="n">
        <v>26458.19</v>
      </c>
      <c r="T43" s="2" t="n">
        <v>26458.19</v>
      </c>
      <c r="U43" s="2" t="n">
        <v>26458.19</v>
      </c>
      <c r="V43" s="2" t="n">
        <v>26458.19</v>
      </c>
      <c r="W43" s="2" t="n">
        <v>26458.19</v>
      </c>
      <c r="X43" s="2" t="n">
        <v>21621.03</v>
      </c>
      <c r="Y43" s="2" t="n">
        <v>21621.03</v>
      </c>
      <c r="Z43" s="2" t="n">
        <v>21621.03</v>
      </c>
      <c r="AA43" s="2" t="n">
        <v>21621.03</v>
      </c>
      <c r="AB43" s="2" t="n">
        <v>21621.03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4128000</v>
      </c>
      <c r="AE45" s="10">
        <f>SUM(C45:AD45)</f>
        <v/>
      </c>
    </row>
    <row r="46">
      <c r="B46" t="inlineStr">
        <is>
          <t>Obligated</t>
        </is>
      </c>
      <c r="J46" s="2" t="n">
        <v>4128000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200000</v>
      </c>
      <c r="N47" s="2" t="n">
        <v>1500000</v>
      </c>
      <c r="O47" s="2" t="n">
        <v>900000</v>
      </c>
      <c r="P47" s="2" t="n">
        <v>1428000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2ADP035</t>
        </is>
      </c>
    </row>
    <row r="4">
      <c r="A4" s="1" t="inlineStr">
        <is>
          <t>ROLLUP #</t>
        </is>
      </c>
      <c r="B4" t="inlineStr">
        <is>
          <t>1035</t>
        </is>
      </c>
    </row>
    <row r="5">
      <c r="A5" s="1" t="inlineStr">
        <is>
          <t>PROJECT NAME</t>
        </is>
      </c>
      <c r="B5" t="inlineStr">
        <is>
          <t>Digital Framework for Collaboration between Interdisciplinary Mfg Teams NF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109838.23</v>
      </c>
      <c r="O18" s="2" t="n">
        <v>48371.68</v>
      </c>
      <c r="P18" s="2" t="n">
        <v>69398.27</v>
      </c>
      <c r="Q18" s="2" t="n">
        <v>9289.25</v>
      </c>
      <c r="R18" s="2" t="n">
        <v>8830.32</v>
      </c>
      <c r="S18" s="2" t="n">
        <v>13599.66</v>
      </c>
      <c r="T18" s="2" t="n">
        <v>7553.01</v>
      </c>
      <c r="U18" s="2" t="n">
        <v>19581.06</v>
      </c>
      <c r="V18" s="2" t="n">
        <v>5691.59</v>
      </c>
      <c r="X18" s="2" t="n">
        <v>561.4299999999999</v>
      </c>
      <c r="Y18" s="2" t="n">
        <v>795.1</v>
      </c>
      <c r="Z18" s="2" t="n">
        <v>5573.89</v>
      </c>
      <c r="AA18" s="2" t="n">
        <v>1661.23</v>
      </c>
      <c r="AB18" s="2" t="n">
        <v>854.15</v>
      </c>
      <c r="AE18" s="10">
        <f>SUM(C18:AD18)</f>
        <v/>
      </c>
    </row>
    <row r="19">
      <c r="B19" t="inlineStr">
        <is>
          <t>Fringe 5990</t>
        </is>
      </c>
      <c r="N19" s="2" t="n">
        <v>47142.56</v>
      </c>
      <c r="O19" s="2" t="n">
        <v>21902.7</v>
      </c>
      <c r="P19" s="2" t="n">
        <v>31423.54</v>
      </c>
      <c r="Q19" s="2" t="n">
        <v>4206.17</v>
      </c>
      <c r="R19" s="2" t="n">
        <v>3998.37</v>
      </c>
      <c r="S19" s="2" t="n">
        <v>6157.92</v>
      </c>
      <c r="T19" s="2" t="n">
        <v>4016.51</v>
      </c>
      <c r="U19" s="2" t="n">
        <v>9418.49</v>
      </c>
      <c r="V19" s="2" t="n">
        <v>2737.65</v>
      </c>
      <c r="X19" s="2" t="n">
        <v>282.18</v>
      </c>
      <c r="Y19" s="2" t="n">
        <v>399.62</v>
      </c>
      <c r="Z19" s="2" t="n">
        <v>2801.44</v>
      </c>
      <c r="AA19" s="2" t="n">
        <v>899.22</v>
      </c>
      <c r="AB19" s="2" t="n">
        <v>462.34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58524.13</v>
      </c>
      <c r="O21" s="2" t="n">
        <v>130000</v>
      </c>
      <c r="P21" s="2" t="n">
        <v>-118122.18</v>
      </c>
      <c r="Q21" s="2" t="n">
        <v>139686.28</v>
      </c>
      <c r="R21" s="2" t="n">
        <v>453176.53</v>
      </c>
      <c r="T21" s="2" t="n">
        <v>149303.2</v>
      </c>
      <c r="U21" s="2" t="n">
        <v>202329.68</v>
      </c>
      <c r="V21" s="2" t="n">
        <v>24117.68</v>
      </c>
      <c r="AE21" s="10">
        <f>SUM(C21:AD21)</f>
        <v/>
      </c>
    </row>
    <row r="22">
      <c r="B22" t="inlineStr">
        <is>
          <t>Consulting 5002</t>
        </is>
      </c>
      <c r="V22" s="2" t="n">
        <v>90000</v>
      </c>
      <c r="AE22" s="10">
        <f>SUM(C22:AD22)</f>
        <v/>
      </c>
    </row>
    <row r="23">
      <c r="B23" t="inlineStr">
        <is>
          <t>Equipment 5010</t>
        </is>
      </c>
      <c r="U23" s="2" t="n">
        <v>84870</v>
      </c>
      <c r="V23" s="2" t="n">
        <v>22500</v>
      </c>
      <c r="W23" s="2" t="n">
        <v>7705.5</v>
      </c>
      <c r="X23" s="2" t="n">
        <v>20435</v>
      </c>
      <c r="Y23" s="2" t="n">
        <v>9096</v>
      </c>
      <c r="Z23" s="2" t="n">
        <v>11500</v>
      </c>
      <c r="AE23" s="10">
        <f>SUM(C23:AD23)</f>
        <v/>
      </c>
    </row>
    <row r="24">
      <c r="B24" t="inlineStr">
        <is>
          <t>Equipment 5008</t>
        </is>
      </c>
      <c r="N24" s="2" t="n">
        <v>44416</v>
      </c>
      <c r="AE24" s="10">
        <f>SUM(C24:AD24)</f>
        <v/>
      </c>
    </row>
    <row r="25">
      <c r="B25" t="inlineStr">
        <is>
          <t>Other Direct Costs 5009</t>
        </is>
      </c>
      <c r="N25" s="2" t="n">
        <v>35263.44</v>
      </c>
      <c r="U25" s="2" t="n">
        <v>87.31</v>
      </c>
      <c r="V25" s="2" t="n">
        <v>498.4</v>
      </c>
      <c r="W25" s="2" t="n">
        <v>533.42</v>
      </c>
      <c r="X25" s="2" t="n">
        <v>204.91</v>
      </c>
      <c r="Y25" s="2" t="n">
        <v>27.37</v>
      </c>
      <c r="AE25" s="10">
        <f>SUM(C25:AD25)</f>
        <v/>
      </c>
    </row>
    <row r="26">
      <c r="B26" t="inlineStr">
        <is>
          <t>Material 5003</t>
        </is>
      </c>
      <c r="N26" s="2" t="n">
        <v>5657.23</v>
      </c>
      <c r="O26" s="2" t="n">
        <v>570.11</v>
      </c>
      <c r="P26" s="2" t="n">
        <v>1082.93</v>
      </c>
      <c r="R26" s="2" t="n">
        <v>14.95</v>
      </c>
      <c r="S26" s="2" t="n">
        <v>291.61</v>
      </c>
      <c r="U26" s="2" t="n">
        <v>1340.64</v>
      </c>
      <c r="W26" s="2" t="n">
        <v>4816.45</v>
      </c>
      <c r="X26" s="2" t="n">
        <v>875.5</v>
      </c>
      <c r="Y26" s="2" t="n">
        <v>79.95</v>
      </c>
      <c r="AE26" s="10">
        <f>SUM(C26:AD26)</f>
        <v/>
      </c>
    </row>
    <row r="27">
      <c r="B27" t="inlineStr">
        <is>
          <t>Sub K Overhead 5992</t>
        </is>
      </c>
      <c r="N27" s="2" t="n">
        <v>1533.33</v>
      </c>
      <c r="O27" s="2" t="n">
        <v>3679</v>
      </c>
      <c r="P27" s="2" t="n">
        <v>-3342.85</v>
      </c>
      <c r="Q27" s="2" t="n">
        <v>3953.12</v>
      </c>
      <c r="R27" s="2" t="n">
        <v>12834.67</v>
      </c>
      <c r="T27" s="2" t="n">
        <v>4568.68</v>
      </c>
      <c r="U27" s="2" t="n">
        <v>6191.28</v>
      </c>
      <c r="V27" s="2" t="n">
        <v>738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312928.77</v>
      </c>
      <c r="O29" s="2" t="n">
        <v>102526.14</v>
      </c>
      <c r="P29" s="2" t="n">
        <v>147476.54</v>
      </c>
      <c r="Q29" s="2" t="n">
        <v>19530.58</v>
      </c>
      <c r="R29" s="2" t="n">
        <v>18587.32</v>
      </c>
      <c r="S29" s="2" t="n">
        <v>29015.17</v>
      </c>
      <c r="T29" s="2" t="n">
        <v>12528.63</v>
      </c>
      <c r="U29" s="2" t="n">
        <v>39978.69</v>
      </c>
      <c r="V29" s="2" t="n">
        <v>129981.03</v>
      </c>
      <c r="W29" s="2" t="n">
        <v>7104.09</v>
      </c>
      <c r="X29" s="2" t="n">
        <v>2554.91</v>
      </c>
      <c r="Y29" s="2" t="n">
        <v>1728.98</v>
      </c>
      <c r="Z29" s="2" t="n">
        <v>11121.6</v>
      </c>
      <c r="AA29" s="2" t="n">
        <v>3488.87</v>
      </c>
      <c r="AB29" s="2" t="n">
        <v>1793.84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20949</v>
      </c>
      <c r="L32" s="2" t="n">
        <v>20949</v>
      </c>
      <c r="M32" s="2" t="n">
        <v>20949</v>
      </c>
      <c r="N32" s="2" t="n">
        <v>20949</v>
      </c>
      <c r="O32" s="2" t="n">
        <v>20949</v>
      </c>
      <c r="P32" s="2" t="n">
        <v>20949</v>
      </c>
      <c r="Q32" s="2" t="n">
        <v>20949</v>
      </c>
      <c r="R32" s="2" t="n">
        <v>20949</v>
      </c>
      <c r="S32" s="2" t="n">
        <v>20949</v>
      </c>
      <c r="T32" s="2" t="n">
        <v>20949</v>
      </c>
      <c r="U32" s="2" t="n">
        <v>20949</v>
      </c>
      <c r="V32" s="2" t="n">
        <v>20949</v>
      </c>
      <c r="W32" s="2" t="n">
        <v>20949</v>
      </c>
      <c r="X32" s="2" t="n">
        <v>20949</v>
      </c>
      <c r="Y32" s="2" t="n">
        <v>20949</v>
      </c>
      <c r="Z32" s="2" t="n">
        <v>20949</v>
      </c>
      <c r="AA32" s="2" t="n">
        <v>20949</v>
      </c>
      <c r="AB32" s="2" t="n">
        <v>20949</v>
      </c>
      <c r="AC32" s="2" t="n">
        <v>20949</v>
      </c>
      <c r="AE32" s="10">
        <f>SUM(C32:AD32)</f>
        <v/>
      </c>
    </row>
    <row r="33">
      <c r="B33" t="inlineStr">
        <is>
          <t>Fringe 5990</t>
        </is>
      </c>
      <c r="K33" s="2" t="n">
        <v>9039.370000000001</v>
      </c>
      <c r="L33" s="2" t="n">
        <v>9039.370000000001</v>
      </c>
      <c r="M33" s="2" t="n">
        <v>9039.370000000001</v>
      </c>
      <c r="N33" s="2" t="n">
        <v>9039.370000000001</v>
      </c>
      <c r="O33" s="2" t="n">
        <v>9039.370000000001</v>
      </c>
      <c r="P33" s="2" t="n">
        <v>9039.370000000001</v>
      </c>
      <c r="Q33" s="2" t="n">
        <v>9039.370000000001</v>
      </c>
      <c r="R33" s="2" t="n">
        <v>9039.370000000001</v>
      </c>
      <c r="S33" s="2" t="n">
        <v>9039.370000000001</v>
      </c>
      <c r="T33" s="2" t="n">
        <v>9039.370000000001</v>
      </c>
      <c r="U33" s="2" t="n">
        <v>9039.370000000001</v>
      </c>
      <c r="V33" s="2" t="n">
        <v>9039.370000000001</v>
      </c>
      <c r="W33" s="2" t="n">
        <v>9039.370000000001</v>
      </c>
      <c r="X33" s="2" t="n">
        <v>9039.370000000001</v>
      </c>
      <c r="Y33" s="2" t="n">
        <v>9039.370000000001</v>
      </c>
      <c r="Z33" s="2" t="n">
        <v>9039.370000000001</v>
      </c>
      <c r="AA33" s="2" t="n">
        <v>9039.370000000001</v>
      </c>
      <c r="AB33" s="2" t="n">
        <v>9039.370000000001</v>
      </c>
      <c r="AC33" s="2" t="n">
        <v>9039.370000000001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28567.71</v>
      </c>
      <c r="O35" s="2" t="n">
        <v>365383.56</v>
      </c>
      <c r="P35" s="2" t="n">
        <v>365383.56</v>
      </c>
      <c r="Q35" s="2" t="n">
        <v>279680.43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K38" s="2" t="n">
        <v>6123.16</v>
      </c>
      <c r="L38" s="2" t="n">
        <v>6123.16</v>
      </c>
      <c r="M38" s="2" t="n">
        <v>6123.16</v>
      </c>
      <c r="N38" s="2" t="n">
        <v>6123.16</v>
      </c>
      <c r="O38" s="2" t="n">
        <v>6123.16</v>
      </c>
      <c r="P38" s="2" t="n">
        <v>6123.16</v>
      </c>
      <c r="Q38" s="2" t="n">
        <v>6123.16</v>
      </c>
      <c r="R38" s="2" t="n">
        <v>6123.16</v>
      </c>
      <c r="S38" s="2" t="n">
        <v>6123.16</v>
      </c>
      <c r="T38" s="2" t="n">
        <v>6123.16</v>
      </c>
      <c r="U38" s="2" t="n">
        <v>6123.16</v>
      </c>
      <c r="V38" s="2" t="n">
        <v>6123.16</v>
      </c>
      <c r="W38" s="2" t="n">
        <v>6123.16</v>
      </c>
      <c r="X38" s="2" t="n">
        <v>6123.16</v>
      </c>
      <c r="Y38" s="2" t="n">
        <v>6123.16</v>
      </c>
      <c r="Z38" s="2" t="n">
        <v>6123.16</v>
      </c>
      <c r="AA38" s="2" t="n">
        <v>6123.16</v>
      </c>
      <c r="AB38" s="2" t="n">
        <v>6123.16</v>
      </c>
      <c r="AC38" s="2" t="n">
        <v>6123.16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K40" s="2" t="n">
        <v>315.79</v>
      </c>
      <c r="L40" s="2" t="n">
        <v>315.79</v>
      </c>
      <c r="M40" s="2" t="n">
        <v>315.79</v>
      </c>
      <c r="N40" s="2" t="n">
        <v>315.79</v>
      </c>
      <c r="O40" s="2" t="n">
        <v>315.79</v>
      </c>
      <c r="P40" s="2" t="n">
        <v>315.79</v>
      </c>
      <c r="Q40" s="2" t="n">
        <v>315.79</v>
      </c>
      <c r="R40" s="2" t="n">
        <v>315.79</v>
      </c>
      <c r="S40" s="2" t="n">
        <v>315.79</v>
      </c>
      <c r="T40" s="2" t="n">
        <v>315.79</v>
      </c>
      <c r="U40" s="2" t="n">
        <v>315.79</v>
      </c>
      <c r="V40" s="2" t="n">
        <v>315.79</v>
      </c>
      <c r="W40" s="2" t="n">
        <v>315.79</v>
      </c>
      <c r="X40" s="2" t="n">
        <v>315.79</v>
      </c>
      <c r="Y40" s="2" t="n">
        <v>315.79</v>
      </c>
      <c r="Z40" s="2" t="n">
        <v>315.79</v>
      </c>
      <c r="AA40" s="2" t="n">
        <v>315.79</v>
      </c>
      <c r="AB40" s="2" t="n">
        <v>315.79</v>
      </c>
      <c r="AC40" s="2" t="n">
        <v>315.79</v>
      </c>
      <c r="AE40" s="10">
        <f>SUM(C40:AD40)</f>
        <v/>
      </c>
    </row>
    <row r="41">
      <c r="B41" t="inlineStr">
        <is>
          <t>Sub K Overhead 5992</t>
        </is>
      </c>
      <c r="N41" s="2" t="n">
        <v>792.29</v>
      </c>
      <c r="O41" s="2" t="n">
        <v>10579.89</v>
      </c>
      <c r="P41" s="2" t="n">
        <v>10579.89</v>
      </c>
      <c r="Q41" s="2" t="n">
        <v>8203.02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39268.88</v>
      </c>
      <c r="L43" s="2" t="n">
        <v>39268.88</v>
      </c>
      <c r="M43" s="2" t="n">
        <v>39268.88</v>
      </c>
      <c r="N43" s="2" t="n">
        <v>39268.88</v>
      </c>
      <c r="O43" s="2" t="n">
        <v>39268.88</v>
      </c>
      <c r="P43" s="2" t="n">
        <v>39268.88</v>
      </c>
      <c r="Q43" s="2" t="n">
        <v>39268.88</v>
      </c>
      <c r="R43" s="2" t="n">
        <v>39268.88</v>
      </c>
      <c r="S43" s="2" t="n">
        <v>39268.88</v>
      </c>
      <c r="T43" s="2" t="n">
        <v>39268.88</v>
      </c>
      <c r="U43" s="2" t="n">
        <v>39268.88</v>
      </c>
      <c r="V43" s="2" t="n">
        <v>39268.88</v>
      </c>
      <c r="W43" s="2" t="n">
        <v>39268.88</v>
      </c>
      <c r="X43" s="2" t="n">
        <v>39268.88</v>
      </c>
      <c r="Y43" s="2" t="n">
        <v>39268.88</v>
      </c>
      <c r="Z43" s="2" t="n">
        <v>39268.88</v>
      </c>
      <c r="AA43" s="2" t="n">
        <v>39268.88</v>
      </c>
      <c r="AB43" s="2" t="n">
        <v>39268.88</v>
      </c>
      <c r="AC43" s="2" t="n">
        <v>39268.88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2715649</v>
      </c>
      <c r="AE45" s="10">
        <f>SUM(C45:AD45)</f>
        <v/>
      </c>
    </row>
    <row r="46">
      <c r="B46" t="inlineStr">
        <is>
          <t>Obligated</t>
        </is>
      </c>
      <c r="I46" s="2" t="n">
        <v>2715649</v>
      </c>
      <c r="AE46" s="10">
        <f>SUM(C46:AD46)</f>
        <v/>
      </c>
    </row>
    <row r="47">
      <c r="B47" t="inlineStr">
        <is>
          <t>Expended</t>
        </is>
      </c>
      <c r="L47" s="2" t="n">
        <v>450000</v>
      </c>
      <c r="M47" s="2" t="n">
        <v>500000</v>
      </c>
      <c r="N47" s="2" t="n">
        <v>588550</v>
      </c>
      <c r="O47" s="2" t="n">
        <v>588549.5</v>
      </c>
      <c r="P47" s="2" t="n">
        <v>588549.5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2ADP036</t>
        </is>
      </c>
    </row>
    <row r="4">
      <c r="A4" s="1" t="inlineStr">
        <is>
          <t>ROLLUP #</t>
        </is>
      </c>
      <c r="B4" t="inlineStr">
        <is>
          <t>713080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3649.77</v>
      </c>
      <c r="AE18" s="10">
        <f>SUM(C18:AD18)</f>
        <v/>
      </c>
    </row>
    <row r="19">
      <c r="B19" t="inlineStr">
        <is>
          <t>Fringe 5990</t>
        </is>
      </c>
      <c r="N19" s="2" t="n">
        <v>1566.47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91999.98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2410.4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6736.27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620.54</v>
      </c>
      <c r="K32" s="2" t="n">
        <v>620.54</v>
      </c>
      <c r="L32" s="2" t="n">
        <v>620.54</v>
      </c>
      <c r="M32" s="2" t="n">
        <v>620.54</v>
      </c>
      <c r="N32" s="2" t="n">
        <v>620.54</v>
      </c>
      <c r="O32" s="2" t="n">
        <v>620.54</v>
      </c>
      <c r="AE32" s="10">
        <f>SUM(C32:AD32)</f>
        <v/>
      </c>
    </row>
    <row r="33">
      <c r="B33" t="inlineStr">
        <is>
          <t>Fringe 5990</t>
        </is>
      </c>
      <c r="J33" s="2" t="n">
        <v>244.93</v>
      </c>
      <c r="K33" s="2" t="n">
        <v>244.93</v>
      </c>
      <c r="L33" s="2" t="n">
        <v>244.93</v>
      </c>
      <c r="M33" s="2" t="n">
        <v>244.93</v>
      </c>
      <c r="N33" s="2" t="n">
        <v>244.93</v>
      </c>
      <c r="O33" s="2" t="n">
        <v>244.93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15333.33</v>
      </c>
      <c r="K35" s="2" t="n">
        <v>15333.33</v>
      </c>
      <c r="L35" s="2" t="n">
        <v>15333.33</v>
      </c>
      <c r="M35" s="2" t="n">
        <v>15333.33</v>
      </c>
      <c r="N35" s="2" t="n">
        <v>15333.33</v>
      </c>
      <c r="O35" s="2" t="n">
        <v>15333.33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467.87</v>
      </c>
      <c r="K43" s="2" t="n">
        <v>467.87</v>
      </c>
      <c r="L43" s="2" t="n">
        <v>467.87</v>
      </c>
      <c r="M43" s="2" t="n">
        <v>467.87</v>
      </c>
      <c r="N43" s="2" t="n">
        <v>467.87</v>
      </c>
      <c r="O43" s="2" t="n">
        <v>467.87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100000</v>
      </c>
      <c r="AE45" s="10">
        <f>SUM(C45:AD45)</f>
        <v/>
      </c>
    </row>
    <row r="46">
      <c r="B46" t="inlineStr">
        <is>
          <t>Obligated</t>
        </is>
      </c>
      <c r="K46" s="2" t="n">
        <v>100000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2ADP037</t>
        </is>
      </c>
    </row>
    <row r="4">
      <c r="A4" s="1" t="inlineStr">
        <is>
          <t>ROLLUP #</t>
        </is>
      </c>
      <c r="B4" t="inlineStr">
        <is>
          <t>1037</t>
        </is>
      </c>
    </row>
    <row r="5">
      <c r="A5" s="1" t="inlineStr">
        <is>
          <t>PROJECT NAME</t>
        </is>
      </c>
      <c r="B5" t="inlineStr">
        <is>
          <t>Civil Military Collaboration Initiative Ph V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5409.68</v>
      </c>
      <c r="AE18" s="10">
        <f>SUM(C18:AD18)</f>
        <v/>
      </c>
    </row>
    <row r="19">
      <c r="B19" t="inlineStr">
        <is>
          <t>Fringe 5990</t>
        </is>
      </c>
      <c r="N19" s="2" t="n">
        <v>2321.82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1987199.99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10365.44</v>
      </c>
      <c r="AE25" s="10">
        <f>SUM(C25:AD25)</f>
        <v/>
      </c>
    </row>
    <row r="26">
      <c r="B26" t="inlineStr">
        <is>
          <t>Material 5003</t>
        </is>
      </c>
      <c r="N26" s="2" t="n">
        <v>39994.53</v>
      </c>
      <c r="AE26" s="10">
        <f>SUM(C26:AD26)</f>
        <v/>
      </c>
    </row>
    <row r="27">
      <c r="B27" t="inlineStr">
        <is>
          <t>Sub K Overhead 5992</t>
        </is>
      </c>
      <c r="N27" s="2" t="n">
        <v>52064.64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75021.07000000001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4539.16</v>
      </c>
      <c r="L32" s="2" t="n">
        <v>4539.16</v>
      </c>
      <c r="M32" s="2" t="n">
        <v>4539.16</v>
      </c>
      <c r="N32" s="2" t="n">
        <v>4539.16</v>
      </c>
      <c r="O32" s="2" t="n">
        <v>4539.16</v>
      </c>
      <c r="AE32" s="10">
        <f>SUM(C32:AD32)</f>
        <v/>
      </c>
    </row>
    <row r="33">
      <c r="B33" t="inlineStr">
        <is>
          <t>Fringe 5990</t>
        </is>
      </c>
      <c r="K33" s="2" t="n">
        <v>1948.26</v>
      </c>
      <c r="L33" s="2" t="n">
        <v>1948.26</v>
      </c>
      <c r="M33" s="2" t="n">
        <v>1948.26</v>
      </c>
      <c r="N33" s="2" t="n">
        <v>1948.26</v>
      </c>
      <c r="O33" s="2" t="n">
        <v>1948.26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397440</v>
      </c>
      <c r="L35" s="2" t="n">
        <v>397440</v>
      </c>
      <c r="M35" s="2" t="n">
        <v>397440</v>
      </c>
      <c r="N35" s="2" t="n">
        <v>397440</v>
      </c>
      <c r="O35" s="2" t="n">
        <v>397440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K39" s="2" t="n">
        <v>1800</v>
      </c>
      <c r="L39" s="2" t="n">
        <v>1800</v>
      </c>
      <c r="M39" s="2" t="n">
        <v>1800</v>
      </c>
      <c r="N39" s="2" t="n">
        <v>1800</v>
      </c>
      <c r="O39" s="2" t="n">
        <v>1800</v>
      </c>
      <c r="AE39" s="10">
        <f>SUM(C39:AD39)</f>
        <v/>
      </c>
    </row>
    <row r="40">
      <c r="B40" t="inlineStr">
        <is>
          <t>Material 5003</t>
        </is>
      </c>
      <c r="K40" s="2" t="n">
        <v>6795.2</v>
      </c>
      <c r="L40" s="2" t="n">
        <v>6795.2</v>
      </c>
      <c r="M40" s="2" t="n">
        <v>6795.2</v>
      </c>
      <c r="N40" s="2" t="n">
        <v>6795.2</v>
      </c>
      <c r="O40" s="2" t="n">
        <v>6795.2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19477.64</v>
      </c>
      <c r="L43" s="2" t="n">
        <v>19477.64</v>
      </c>
      <c r="M43" s="2" t="n">
        <v>19477.64</v>
      </c>
      <c r="N43" s="2" t="n">
        <v>19477.64</v>
      </c>
      <c r="O43" s="2" t="n">
        <v>19477.64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2160000</v>
      </c>
      <c r="AE45" s="10">
        <f>SUM(C45:AD45)</f>
        <v/>
      </c>
    </row>
    <row r="46">
      <c r="B46" t="inlineStr">
        <is>
          <t>Obligated</t>
        </is>
      </c>
      <c r="K46" s="2" t="n">
        <v>2160000</v>
      </c>
      <c r="AE46" s="10">
        <f>SUM(C46:AD46)</f>
        <v/>
      </c>
    </row>
    <row r="47">
      <c r="B47" t="inlineStr">
        <is>
          <t>Expended</t>
        </is>
      </c>
      <c r="L47" s="2" t="n">
        <v>1600000</v>
      </c>
      <c r="M47" s="2" t="n">
        <v>560000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2026-04-29T16:51:16Z</dcterms:created>
  <dcterms:modified xsi:type="dcterms:W3CDTF">2026-04-29T18:59:13Z</dcterms:modified>
</cp:coreProperties>
</file>