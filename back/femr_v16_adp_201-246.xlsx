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88" sheetId="1" state="visible" r:id="rId1"/>
    <sheet name="2ADP089" sheetId="2" state="visible" r:id="rId2"/>
    <sheet name="2ADP090" sheetId="3" state="visible" r:id="rId3"/>
    <sheet name="2ADP091" sheetId="4" state="visible" r:id="rId4"/>
    <sheet name="2ADP092" sheetId="5" state="visible" r:id="rId5"/>
    <sheet name="2ADP093" sheetId="6" state="visible" r:id="rId6"/>
    <sheet name="2ADP094" sheetId="7" state="visible" r:id="rId7"/>
    <sheet name="2ADP095" sheetId="8" state="visible" r:id="rId8"/>
    <sheet name="2ADP096" sheetId="9" state="visible" r:id="rId9"/>
    <sheet name="2ADP097" sheetId="10" state="visible" r:id="rId10"/>
    <sheet name="2ADP098" sheetId="11" state="visible" r:id="rId11"/>
    <sheet name="2ADP099 R1099" sheetId="12" state="visible" r:id="rId12"/>
    <sheet name="2ADP099 RCore099" sheetId="13" state="visible" r:id="rId13"/>
    <sheet name="2ADP100" sheetId="14" state="visible" r:id="rId14"/>
    <sheet name="2ADP101" sheetId="15" state="visible" r:id="rId15"/>
    <sheet name="2ADP102" sheetId="16" state="visible" r:id="rId16"/>
    <sheet name="2ADP103" sheetId="17" state="visible" r:id="rId17"/>
    <sheet name="2ADP104" sheetId="18" state="visible" r:id="rId18"/>
    <sheet name="2ADP106" sheetId="19" state="visible" r:id="rId19"/>
    <sheet name="2ADP107" sheetId="20" state="visible" r:id="rId20"/>
    <sheet name="2ADP109" sheetId="21" state="visible" r:id="rId21"/>
    <sheet name="2ADP110" sheetId="22" state="visible" r:id="rId22"/>
    <sheet name="2ADP112" sheetId="23" state="visible" r:id="rId23"/>
    <sheet name="2ADP113" sheetId="24" state="visible" r:id="rId24"/>
    <sheet name="2ADP114" sheetId="25" state="visible" r:id="rId25"/>
    <sheet name="2ADP115" sheetId="26" state="visible" r:id="rId26"/>
    <sheet name="2ADP116" sheetId="27" state="visible" r:id="rId27"/>
    <sheet name="2ADP117" sheetId="28" state="visible" r:id="rId28"/>
    <sheet name="2ADP118" sheetId="29" state="visible" r:id="rId29"/>
    <sheet name="2ADP119" sheetId="30" state="visible" r:id="rId30"/>
    <sheet name="2ADP120" sheetId="31" state="visible" r:id="rId31"/>
    <sheet name="2ADP121" sheetId="32" state="visible" r:id="rId32"/>
    <sheet name="2ADP122" sheetId="33" state="visible" r:id="rId33"/>
    <sheet name="2ADP123" sheetId="34" state="visible" r:id="rId34"/>
    <sheet name="2ADP124" sheetId="35" state="visible" r:id="rId35"/>
    <sheet name="2ADP125" sheetId="36" state="visible" r:id="rId36"/>
    <sheet name="2ADP126" sheetId="37" state="visible" r:id="rId37"/>
    <sheet name="2ADP127" sheetId="38" state="visible" r:id="rId38"/>
    <sheet name="2ADP128" sheetId="39" state="visible" r:id="rId39"/>
    <sheet name="2ADP129" sheetId="40" state="visible" r:id="rId40"/>
    <sheet name="2ADP130" sheetId="41" state="visible" r:id="rId41"/>
    <sheet name="2ADP131" sheetId="42" state="visible" r:id="rId42"/>
    <sheet name="2ADP132" sheetId="43" state="visible" r:id="rId43"/>
    <sheet name="2ADP135" sheetId="44" state="visible" r:id="rId44"/>
    <sheet name="2ADP137" sheetId="45" state="visible" r:id="rId45"/>
    <sheet name="2ADP138" sheetId="46" state="visible" r:id="rId46"/>
    <sheet name="2ADP140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2ADP088</t>
        </is>
      </c>
    </row>
    <row r="4">
      <c r="A4" s="1" t="inlineStr">
        <is>
          <t>ROLLUP #</t>
        </is>
      </c>
      <c r="B4" t="inlineStr">
        <is>
          <t>1088</t>
        </is>
      </c>
    </row>
    <row r="5">
      <c r="A5" s="1" t="inlineStr">
        <is>
          <t>PROJECT NAME</t>
        </is>
      </c>
      <c r="B5" t="inlineStr">
        <is>
          <t>Analog Neuromorphic Front End Preprocessor for WARCHAMP Phase 1</t>
        </is>
      </c>
    </row>
    <row r="6">
      <c r="A6" s="1" t="inlineStr">
        <is>
          <t>TECHNICAL POINT OF CONTACT</t>
        </is>
      </c>
      <c r="B6" t="inlineStr">
        <is>
          <t>Michael R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1276.45</v>
      </c>
      <c r="V18" s="2" t="n">
        <v>2047.73</v>
      </c>
      <c r="W18" s="2" t="n">
        <v>824.37</v>
      </c>
      <c r="Y18" s="2" t="n">
        <v>2826.88</v>
      </c>
      <c r="Z18" s="2" t="n">
        <v>3449.4</v>
      </c>
      <c r="AE18" s="10">
        <f>SUM(C18:AD18)</f>
        <v/>
      </c>
    </row>
    <row r="19">
      <c r="B19" t="inlineStr">
        <is>
          <t>Fringe 5990</t>
        </is>
      </c>
      <c r="U19" s="2" t="n">
        <v>613.98</v>
      </c>
      <c r="V19" s="2" t="n">
        <v>984.97</v>
      </c>
      <c r="W19" s="2" t="n">
        <v>414.33</v>
      </c>
      <c r="Y19" s="2" t="n">
        <v>1420.79</v>
      </c>
      <c r="Z19" s="2" t="n">
        <v>1733.67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78741.64999999999</v>
      </c>
      <c r="X21" s="2" t="n">
        <v>179763.41</v>
      </c>
      <c r="Y21" s="2" t="n">
        <v>191492.87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2409.49</v>
      </c>
      <c r="X27" s="2" t="n">
        <v>5267.07</v>
      </c>
      <c r="Y27" s="2" t="n">
        <v>5610.74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2483.83</v>
      </c>
      <c r="V29" s="2" t="n">
        <v>3984.65</v>
      </c>
      <c r="W29" s="2" t="n">
        <v>1644.87</v>
      </c>
      <c r="Y29" s="2" t="n">
        <v>5640.48</v>
      </c>
      <c r="Z29" s="2" t="n">
        <v>6882.6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2442</v>
      </c>
      <c r="V32" s="2" t="n">
        <v>2442</v>
      </c>
      <c r="W32" s="2" t="n">
        <v>2442</v>
      </c>
      <c r="X32" s="2" t="n">
        <v>2442</v>
      </c>
      <c r="Y32" s="2" t="n">
        <v>804</v>
      </c>
      <c r="AE32" s="10">
        <f>SUM(C32:AD32)</f>
        <v/>
      </c>
    </row>
    <row r="33">
      <c r="B33" t="inlineStr">
        <is>
          <t>Fringe 5990</t>
        </is>
      </c>
      <c r="U33" s="2" t="n">
        <v>1173</v>
      </c>
      <c r="V33" s="2" t="n">
        <v>1173</v>
      </c>
      <c r="W33" s="2" t="n">
        <v>1173</v>
      </c>
      <c r="X33" s="2" t="n">
        <v>1173</v>
      </c>
      <c r="Y33" s="2" t="n">
        <v>393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112500</v>
      </c>
      <c r="V35" s="2" t="n">
        <v>112500</v>
      </c>
      <c r="W35" s="2" t="n">
        <v>112500</v>
      </c>
      <c r="X35" s="2" t="n">
        <v>112500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3441</v>
      </c>
      <c r="V41" s="2" t="n">
        <v>3441</v>
      </c>
      <c r="W41" s="2" t="n">
        <v>3441</v>
      </c>
      <c r="X41" s="2" t="n">
        <v>3447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4746</v>
      </c>
      <c r="V43" s="2" t="n">
        <v>4749</v>
      </c>
      <c r="W43" s="2" t="n">
        <v>4749</v>
      </c>
      <c r="X43" s="2" t="n">
        <v>4749</v>
      </c>
      <c r="Y43" s="2" t="n">
        <v>1579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500000</v>
      </c>
      <c r="AE45" s="10">
        <f>SUM(C45:AD45)</f>
        <v/>
      </c>
    </row>
    <row r="46">
      <c r="B46" t="inlineStr">
        <is>
          <t>Obligated</t>
        </is>
      </c>
      <c r="U46" s="2" t="n">
        <v>500000</v>
      </c>
      <c r="AE46" s="10">
        <f>SUM(C46:AD46)</f>
        <v/>
      </c>
    </row>
    <row r="47">
      <c r="B47" t="inlineStr">
        <is>
          <t>Expended</t>
        </is>
      </c>
      <c r="V47" s="2" t="n">
        <v>250000</v>
      </c>
      <c r="W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2ADP089</t>
        </is>
      </c>
    </row>
    <row r="4">
      <c r="A4" s="1" t="inlineStr">
        <is>
          <t>ROLLUP #</t>
        </is>
      </c>
      <c r="B4" t="inlineStr">
        <is>
          <t>1089</t>
        </is>
      </c>
    </row>
    <row r="5">
      <c r="A5" s="1" t="inlineStr">
        <is>
          <t>PROJECT NAME</t>
        </is>
      </c>
      <c r="B5" t="inlineStr">
        <is>
          <t>Equipping The Advanced Mfg Ecosystem to Deepen Diversity Equity Inclucion nd Accessibility DEIA Workforce Integration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Subk, 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EE, EF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98.34</v>
      </c>
      <c r="V18" s="2" t="n">
        <v>3569.82</v>
      </c>
      <c r="W18" s="2" t="n">
        <v>14416.91</v>
      </c>
      <c r="X18" s="2" t="n">
        <v>7687.81</v>
      </c>
      <c r="Y18" s="2" t="n">
        <v>10721.01</v>
      </c>
      <c r="Z18" s="2" t="n">
        <v>2116.78</v>
      </c>
      <c r="AA18" s="2" t="n">
        <v>8373.07</v>
      </c>
      <c r="AB18" s="2" t="n">
        <v>18360.13</v>
      </c>
      <c r="AE18" s="10">
        <f>SUM(C18:AD18)</f>
        <v/>
      </c>
    </row>
    <row r="19">
      <c r="B19" t="inlineStr">
        <is>
          <t>Fringe 5990</t>
        </is>
      </c>
      <c r="U19" s="2" t="n">
        <v>47.3</v>
      </c>
      <c r="V19" s="2" t="n">
        <v>1717.08</v>
      </c>
      <c r="W19" s="2" t="n">
        <v>7245.95</v>
      </c>
      <c r="X19" s="2" t="n">
        <v>3863.89</v>
      </c>
      <c r="Y19" s="2" t="n">
        <v>5388.39</v>
      </c>
      <c r="Z19" s="2" t="n">
        <v>1063.89</v>
      </c>
      <c r="AA19" s="2" t="n">
        <v>4532.34</v>
      </c>
      <c r="AB19" s="2" t="n">
        <v>9937.98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15300.43</v>
      </c>
      <c r="X21" s="2" t="n">
        <v>33486.48</v>
      </c>
      <c r="Y21" s="2" t="n">
        <v>28852.01</v>
      </c>
      <c r="Z21" s="2" t="n">
        <v>34588.38</v>
      </c>
      <c r="AB21" s="2" t="n">
        <v>59404.23</v>
      </c>
      <c r="AE21" s="10">
        <f>SUM(C21:AD21)</f>
        <v/>
      </c>
    </row>
    <row r="22">
      <c r="B22" t="inlineStr">
        <is>
          <t>Consulting 5002</t>
        </is>
      </c>
      <c r="AB22" s="2" t="n">
        <v>4200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25.47</v>
      </c>
      <c r="AA25" s="2" t="n">
        <v>600</v>
      </c>
      <c r="AE25" s="10">
        <f>SUM(C25:AD25)</f>
        <v/>
      </c>
    </row>
    <row r="26">
      <c r="B26" t="inlineStr">
        <is>
          <t>Material 5003</t>
        </is>
      </c>
      <c r="W26" s="2" t="n">
        <v>413.76</v>
      </c>
      <c r="AE26" s="10">
        <f>SUM(C26:AD26)</f>
        <v/>
      </c>
    </row>
    <row r="27">
      <c r="B27" t="inlineStr">
        <is>
          <t>Sub K Overhead 5992</t>
        </is>
      </c>
      <c r="V27" s="2" t="n">
        <v>468.19</v>
      </c>
      <c r="X27" s="2" t="n">
        <v>981.15</v>
      </c>
      <c r="Y27" s="2" t="n">
        <v>845.36</v>
      </c>
      <c r="Z27" s="2" t="n">
        <v>1013.44</v>
      </c>
      <c r="AB27" s="2" t="n">
        <v>1799.95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191.36</v>
      </c>
      <c r="V29" s="2" t="n">
        <v>6946.45</v>
      </c>
      <c r="W29" s="2" t="n">
        <v>29349.36</v>
      </c>
      <c r="X29" s="2" t="n">
        <v>15339.51</v>
      </c>
      <c r="Y29" s="2" t="n">
        <v>21391.68</v>
      </c>
      <c r="Z29" s="2" t="n">
        <v>4223.61</v>
      </c>
      <c r="AA29" s="2" t="n">
        <v>18402.47</v>
      </c>
      <c r="AB29" s="2" t="n">
        <v>44281.01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23706.96</v>
      </c>
      <c r="V32" s="2" t="n">
        <v>23706.96</v>
      </c>
      <c r="W32" s="2" t="n">
        <v>23706.96</v>
      </c>
      <c r="X32" s="2" t="n">
        <v>23706.96</v>
      </c>
      <c r="Y32" s="2" t="n">
        <v>23706.96</v>
      </c>
      <c r="Z32" s="2" t="n">
        <v>23706.96</v>
      </c>
      <c r="AA32" s="2" t="n">
        <v>23706.96</v>
      </c>
      <c r="AB32" s="2" t="n">
        <v>23706.96</v>
      </c>
      <c r="AC32" s="2" t="n">
        <v>7902.32</v>
      </c>
      <c r="AE32" s="10">
        <f>SUM(C32:AD32)</f>
        <v/>
      </c>
    </row>
    <row r="33">
      <c r="B33" t="inlineStr">
        <is>
          <t>Fringe 5990</t>
        </is>
      </c>
      <c r="U33" s="2" t="n">
        <v>11915.16</v>
      </c>
      <c r="V33" s="2" t="n">
        <v>11915.16</v>
      </c>
      <c r="W33" s="2" t="n">
        <v>11915.16</v>
      </c>
      <c r="X33" s="2" t="n">
        <v>11915.16</v>
      </c>
      <c r="Y33" s="2" t="n">
        <v>11915.16</v>
      </c>
      <c r="Z33" s="2" t="n">
        <v>11915.16</v>
      </c>
      <c r="AA33" s="2" t="n">
        <v>11915.16</v>
      </c>
      <c r="AB33" s="2" t="n">
        <v>11915.16</v>
      </c>
      <c r="AC33" s="2" t="n">
        <v>3971.72</v>
      </c>
      <c r="AE33" s="10">
        <f>SUM(C33:AD33)</f>
        <v/>
      </c>
    </row>
    <row r="34">
      <c r="B34" t="inlineStr">
        <is>
          <t>Travel 5004</t>
        </is>
      </c>
      <c r="Z34" s="2" t="n">
        <v>5499.99</v>
      </c>
      <c r="AB34" s="2" t="n">
        <v>5500.01</v>
      </c>
      <c r="AE34" s="10">
        <f>SUM(C34:AD34)</f>
        <v/>
      </c>
    </row>
    <row r="35">
      <c r="B35" t="inlineStr">
        <is>
          <t>Subcontracting 5005</t>
        </is>
      </c>
      <c r="U35" s="2" t="n">
        <v>62649.6</v>
      </c>
      <c r="V35" s="2" t="n">
        <v>62649.6</v>
      </c>
      <c r="W35" s="2" t="n">
        <v>62649.6</v>
      </c>
      <c r="X35" s="2" t="n">
        <v>62649.6</v>
      </c>
      <c r="Y35" s="2" t="n">
        <v>62649.6</v>
      </c>
      <c r="Z35" s="2" t="n">
        <v>62649.6</v>
      </c>
      <c r="AA35" s="2" t="n">
        <v>62649.6</v>
      </c>
      <c r="AB35" s="2" t="n">
        <v>62649.6</v>
      </c>
      <c r="AC35" s="2" t="n">
        <v>20883.2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Z40" s="2" t="n">
        <v>2600</v>
      </c>
      <c r="AE40" s="10">
        <f>SUM(C40:AD40)</f>
        <v/>
      </c>
    </row>
    <row r="41">
      <c r="B41" t="inlineStr">
        <is>
          <t>Sub K Overhead 5992</t>
        </is>
      </c>
      <c r="U41" s="2" t="n">
        <v>1835.64</v>
      </c>
      <c r="V41" s="2" t="n">
        <v>1835.64</v>
      </c>
      <c r="W41" s="2" t="n">
        <v>1835.64</v>
      </c>
      <c r="X41" s="2" t="n">
        <v>1835.64</v>
      </c>
      <c r="Y41" s="2" t="n">
        <v>1835.64</v>
      </c>
      <c r="Z41" s="2" t="n">
        <v>1835.64</v>
      </c>
      <c r="AA41" s="2" t="n">
        <v>1835.64</v>
      </c>
      <c r="AB41" s="2" t="n">
        <v>1835.64</v>
      </c>
      <c r="AC41" s="2" t="n">
        <v>611.88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49469.88</v>
      </c>
      <c r="V43" s="2" t="n">
        <v>49469.88</v>
      </c>
      <c r="W43" s="2" t="n">
        <v>49469.88</v>
      </c>
      <c r="X43" s="2" t="n">
        <v>49469.88</v>
      </c>
      <c r="Y43" s="2" t="n">
        <v>49469.88</v>
      </c>
      <c r="Z43" s="2" t="n">
        <v>49469.88</v>
      </c>
      <c r="AA43" s="2" t="n">
        <v>49469.88</v>
      </c>
      <c r="AB43" s="2" t="n">
        <v>49469.88</v>
      </c>
      <c r="AC43" s="2" t="n">
        <v>16489.96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1260076</v>
      </c>
      <c r="AE45" s="10">
        <f>SUM(C45:AD45)</f>
        <v/>
      </c>
    </row>
    <row r="46">
      <c r="B46" t="inlineStr">
        <is>
          <t>Obligated</t>
        </is>
      </c>
      <c r="U46" s="2" t="n">
        <v>1260076</v>
      </c>
      <c r="AE46" s="10">
        <f>SUM(C46:AD46)</f>
        <v/>
      </c>
    </row>
    <row r="47">
      <c r="B47" t="inlineStr">
        <is>
          <t>Expended</t>
        </is>
      </c>
      <c r="V47" s="2" t="n">
        <v>472232</v>
      </c>
      <c r="W47" s="2" t="n">
        <v>700000</v>
      </c>
      <c r="AB47" s="2" t="n">
        <v>87844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2ADP090</t>
        </is>
      </c>
    </row>
    <row r="4">
      <c r="A4" s="1" t="inlineStr">
        <is>
          <t>ROLLUP #</t>
        </is>
      </c>
      <c r="B4" t="inlineStr">
        <is>
          <t>1090</t>
        </is>
      </c>
    </row>
    <row r="5">
      <c r="A5" s="1" t="inlineStr">
        <is>
          <t>PROJECT NAME</t>
        </is>
      </c>
      <c r="B5" t="inlineStr">
        <is>
          <t>T2 Program FY24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EK, EL, EM, EN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1108.11</v>
      </c>
      <c r="W18" s="2" t="n">
        <v>2313.77</v>
      </c>
      <c r="X18" s="2" t="n">
        <v>3712.96</v>
      </c>
      <c r="Y18" s="2" t="n">
        <v>2608.01</v>
      </c>
      <c r="Z18" s="2" t="n">
        <v>4311.46</v>
      </c>
      <c r="AA18" s="2" t="n">
        <v>16670.8</v>
      </c>
      <c r="AB18" s="2" t="n">
        <v>8588.58</v>
      </c>
      <c r="AE18" s="10">
        <f>SUM(C18:AD18)</f>
        <v/>
      </c>
    </row>
    <row r="19">
      <c r="B19" t="inlineStr">
        <is>
          <t>Fringe 5990</t>
        </is>
      </c>
      <c r="V19" s="2" t="n">
        <v>533</v>
      </c>
      <c r="W19" s="2" t="n">
        <v>1162.91</v>
      </c>
      <c r="X19" s="2" t="n">
        <v>1866.13</v>
      </c>
      <c r="Y19" s="2" t="n">
        <v>1310.78</v>
      </c>
      <c r="Z19" s="2" t="n">
        <v>2166.93</v>
      </c>
      <c r="AA19" s="2" t="n">
        <v>9023.9</v>
      </c>
      <c r="AB19" s="2" t="n">
        <v>4677.73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W21" s="2" t="n">
        <v>49507.5</v>
      </c>
      <c r="X21" s="2" t="n">
        <v>340586</v>
      </c>
      <c r="Y21" s="2" t="n">
        <v>730773.5</v>
      </c>
      <c r="Z21" s="2" t="n">
        <v>873210.99</v>
      </c>
      <c r="AA21" s="2" t="n">
        <v>272844.31</v>
      </c>
      <c r="AB21" s="2" t="n">
        <v>28846.56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65.67</v>
      </c>
      <c r="AE25" s="10">
        <f>SUM(C25:AD25)</f>
        <v/>
      </c>
    </row>
    <row r="26">
      <c r="B26" t="inlineStr">
        <is>
          <t>Material 5003</t>
        </is>
      </c>
      <c r="AA26" s="2" t="n">
        <v>7024</v>
      </c>
      <c r="AE26" s="10">
        <f>SUM(C26:AD26)</f>
        <v/>
      </c>
    </row>
    <row r="27">
      <c r="B27" t="inlineStr">
        <is>
          <t>Sub K Overhead 5992</t>
        </is>
      </c>
      <c r="W27" s="2" t="n">
        <v>1450.57</v>
      </c>
      <c r="X27" s="2" t="n">
        <v>9979.17</v>
      </c>
      <c r="Y27" s="2" t="n">
        <v>21411.66</v>
      </c>
      <c r="Z27" s="2" t="n">
        <v>25585.07</v>
      </c>
      <c r="AA27" s="2" t="n">
        <v>8267.18</v>
      </c>
      <c r="AB27" s="2" t="n">
        <v>874.05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2156.25</v>
      </c>
      <c r="W29" s="2" t="n">
        <v>4616.69</v>
      </c>
      <c r="X29" s="2" t="n">
        <v>7408.47</v>
      </c>
      <c r="Y29" s="2" t="n">
        <v>5203.76</v>
      </c>
      <c r="Z29" s="2" t="n">
        <v>8602.65</v>
      </c>
      <c r="AA29" s="2" t="n">
        <v>44671.98</v>
      </c>
      <c r="AB29" s="2" t="n">
        <v>18148.98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3651.58</v>
      </c>
      <c r="V32" s="2" t="n">
        <v>10954.74</v>
      </c>
      <c r="W32" s="2" t="n">
        <v>10954.74</v>
      </c>
      <c r="X32" s="2" t="n">
        <v>10954.74</v>
      </c>
      <c r="Y32" s="2" t="n">
        <v>10954.74</v>
      </c>
      <c r="Z32" s="2" t="n">
        <v>3651.96</v>
      </c>
      <c r="AE32" s="10">
        <f>SUM(C32:AD32)</f>
        <v/>
      </c>
    </row>
    <row r="33">
      <c r="B33" t="inlineStr">
        <is>
          <t>Fringe 5990</t>
        </is>
      </c>
      <c r="U33" s="2" t="n">
        <v>1835.21</v>
      </c>
      <c r="V33" s="2" t="n">
        <v>5505.63</v>
      </c>
      <c r="W33" s="2" t="n">
        <v>5505.63</v>
      </c>
      <c r="X33" s="2" t="n">
        <v>5505.63</v>
      </c>
      <c r="Y33" s="2" t="n">
        <v>5505.68</v>
      </c>
      <c r="Z33" s="2" t="n">
        <v>1835.27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36871.91</v>
      </c>
      <c r="W35" s="2" t="n">
        <v>110615.73</v>
      </c>
      <c r="X35" s="2" t="n">
        <v>705916.53</v>
      </c>
      <c r="Y35" s="2" t="n">
        <v>751226.4300000001</v>
      </c>
      <c r="Z35" s="2" t="n">
        <v>519929.23</v>
      </c>
      <c r="AA35" s="2" t="n">
        <v>242505.73</v>
      </c>
      <c r="AB35" s="2" t="n">
        <v>125843.73</v>
      </c>
      <c r="AC35" s="2" t="n">
        <v>125843.71</v>
      </c>
      <c r="AD35" s="2" t="n">
        <v>19219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1098.9</v>
      </c>
      <c r="W41" s="2" t="n">
        <v>3296.7</v>
      </c>
      <c r="X41" s="2" t="n">
        <v>20734.3</v>
      </c>
      <c r="Y41" s="2" t="n">
        <v>22012.99</v>
      </c>
      <c r="Z41" s="2" t="n">
        <v>15234.31</v>
      </c>
      <c r="AA41" s="2" t="n">
        <v>7105.7</v>
      </c>
      <c r="AB41" s="2" t="n">
        <v>3686.7</v>
      </c>
      <c r="AC41" s="2" t="n">
        <v>3686.67</v>
      </c>
      <c r="AD41" s="2" t="n">
        <v>565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7285.79</v>
      </c>
      <c r="V43" s="2" t="n">
        <v>21857.37</v>
      </c>
      <c r="W43" s="2" t="n">
        <v>21857.37</v>
      </c>
      <c r="X43" s="2" t="n">
        <v>21857.37</v>
      </c>
      <c r="Y43" s="2" t="n">
        <v>21857.45</v>
      </c>
      <c r="Z43" s="2" t="n">
        <v>7286.08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2894210.47</v>
      </c>
      <c r="AE45" s="10">
        <f>SUM(C45:AD45)</f>
        <v/>
      </c>
    </row>
    <row r="46">
      <c r="B46" t="inlineStr">
        <is>
          <t>Obligated</t>
        </is>
      </c>
      <c r="U46" s="2" t="n">
        <v>2894210.47</v>
      </c>
      <c r="AE46" s="10">
        <f>SUM(C46:AD46)</f>
        <v/>
      </c>
    </row>
    <row r="47">
      <c r="B47" t="inlineStr">
        <is>
          <t>Expended</t>
        </is>
      </c>
      <c r="W47" s="2" t="n">
        <v>1868953.6</v>
      </c>
      <c r="X47" s="2" t="n">
        <v>1025256.87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2ADP091</t>
        </is>
      </c>
    </row>
    <row r="4">
      <c r="A4" s="1" t="inlineStr">
        <is>
          <t>ROLLUP #</t>
        </is>
      </c>
      <c r="B4" t="inlineStr">
        <is>
          <t>1091</t>
        </is>
      </c>
    </row>
    <row r="5">
      <c r="A5" s="1" t="inlineStr">
        <is>
          <t>PROJECT NAME</t>
        </is>
      </c>
      <c r="B5" t="inlineStr">
        <is>
          <t>FY23 Domestic Advancement of Scent Textiles Manufacturing Bridge to AFFOA 2 CA Part1</t>
        </is>
      </c>
    </row>
    <row r="6">
      <c r="A6" s="1" t="inlineStr">
        <is>
          <t>TECHNICAL POINT OF CONTACT</t>
        </is>
      </c>
      <c r="B6" t="inlineStr">
        <is>
          <t>Jeffrey Pacuska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EH, EJ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221.74</v>
      </c>
      <c r="V18" s="2" t="n">
        <v>1276.44</v>
      </c>
      <c r="W18" s="2" t="n">
        <v>1382.81</v>
      </c>
      <c r="X18" s="2" t="n">
        <v>1500.68</v>
      </c>
      <c r="Y18" s="2" t="n">
        <v>280.3</v>
      </c>
      <c r="Z18" s="2" t="n">
        <v>845.62</v>
      </c>
      <c r="AA18" s="2" t="n">
        <v>79.33</v>
      </c>
      <c r="AE18" s="10">
        <f>SUM(C18:AD18)</f>
        <v/>
      </c>
    </row>
    <row r="19">
      <c r="B19" t="inlineStr">
        <is>
          <t>Fringe 5990</t>
        </is>
      </c>
      <c r="U19" s="2" t="n">
        <v>106.66</v>
      </c>
      <c r="V19" s="2" t="n">
        <v>613.96</v>
      </c>
      <c r="W19" s="2" t="n">
        <v>695</v>
      </c>
      <c r="X19" s="2" t="n">
        <v>754.24</v>
      </c>
      <c r="Y19" s="2" t="n">
        <v>140.88</v>
      </c>
      <c r="Z19" s="2" t="n">
        <v>425.01</v>
      </c>
      <c r="AA19" s="2" t="n">
        <v>42.94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459308.17</v>
      </c>
      <c r="W21" s="2" t="n">
        <v>242610</v>
      </c>
      <c r="X21" s="2" t="n">
        <v>290069.13</v>
      </c>
      <c r="Y21" s="2" t="n">
        <v>329715.28</v>
      </c>
      <c r="Z21" s="2" t="n">
        <v>233297.41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14054.83</v>
      </c>
      <c r="W27" s="2" t="n">
        <v>7108.47</v>
      </c>
      <c r="X27" s="2" t="n">
        <v>8499.030000000001</v>
      </c>
      <c r="Y27" s="2" t="n">
        <v>9660.66</v>
      </c>
      <c r="Z27" s="2" t="n">
        <v>6835.61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431.48</v>
      </c>
      <c r="V29" s="2" t="n">
        <v>2483.8</v>
      </c>
      <c r="W29" s="2" t="n">
        <v>2759.13</v>
      </c>
      <c r="X29" s="2" t="n">
        <v>2994.31</v>
      </c>
      <c r="Y29" s="2" t="n">
        <v>559.28</v>
      </c>
      <c r="Z29" s="2" t="n">
        <v>1687.26</v>
      </c>
      <c r="AA29" s="2" t="n">
        <v>166.61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278</v>
      </c>
      <c r="V32" s="2" t="n">
        <v>834</v>
      </c>
      <c r="W32" s="2" t="n">
        <v>834</v>
      </c>
      <c r="X32" s="2" t="n">
        <v>834</v>
      </c>
      <c r="Y32" s="2" t="n">
        <v>834</v>
      </c>
      <c r="Z32" s="2" t="n">
        <v>834</v>
      </c>
      <c r="AA32" s="2" t="n">
        <v>868</v>
      </c>
      <c r="AE32" s="10">
        <f>SUM(C32:AD32)</f>
        <v/>
      </c>
    </row>
    <row r="33">
      <c r="B33" t="inlineStr">
        <is>
          <t>Fringe 5990</t>
        </is>
      </c>
      <c r="U33" s="2" t="n">
        <v>135</v>
      </c>
      <c r="V33" s="2" t="n">
        <v>405</v>
      </c>
      <c r="W33" s="2" t="n">
        <v>405</v>
      </c>
      <c r="X33" s="2" t="n">
        <v>405</v>
      </c>
      <c r="Y33" s="2" t="n">
        <v>405</v>
      </c>
      <c r="Z33" s="2" t="n">
        <v>405</v>
      </c>
      <c r="AA33" s="2" t="n">
        <v>397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81842</v>
      </c>
      <c r="V35" s="2" t="n">
        <v>245526</v>
      </c>
      <c r="W35" s="2" t="n">
        <v>245526</v>
      </c>
      <c r="X35" s="2" t="n">
        <v>245526</v>
      </c>
      <c r="Y35" s="2" t="n">
        <v>245526</v>
      </c>
      <c r="Z35" s="2" t="n">
        <v>245526</v>
      </c>
      <c r="AA35" s="2" t="n">
        <v>245528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2504</v>
      </c>
      <c r="V41" s="2" t="n">
        <v>7512</v>
      </c>
      <c r="W41" s="2" t="n">
        <v>7512</v>
      </c>
      <c r="X41" s="2" t="n">
        <v>7512</v>
      </c>
      <c r="Y41" s="2" t="n">
        <v>7512</v>
      </c>
      <c r="Z41" s="2" t="n">
        <v>7512</v>
      </c>
      <c r="AA41" s="2" t="n">
        <v>7519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544</v>
      </c>
      <c r="V43" s="2" t="n">
        <v>1632</v>
      </c>
      <c r="W43" s="2" t="n">
        <v>1632</v>
      </c>
      <c r="X43" s="2" t="n">
        <v>1632</v>
      </c>
      <c r="Y43" s="2" t="n">
        <v>1632</v>
      </c>
      <c r="Z43" s="2" t="n">
        <v>1632</v>
      </c>
      <c r="AA43" s="2" t="n">
        <v>1642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1620801.75</v>
      </c>
      <c r="AE45" s="10">
        <f>SUM(C45:AD45)</f>
        <v/>
      </c>
    </row>
    <row r="46">
      <c r="B46" t="inlineStr">
        <is>
          <t>Obligated</t>
        </is>
      </c>
      <c r="U46" s="2" t="n">
        <v>1620801.75</v>
      </c>
      <c r="AE46" s="10">
        <f>SUM(C46:AD46)</f>
        <v/>
      </c>
    </row>
    <row r="47">
      <c r="B47" t="inlineStr">
        <is>
          <t>Expended</t>
        </is>
      </c>
      <c r="W47" s="2" t="n">
        <v>1620801.75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2ADP092</t>
        </is>
      </c>
    </row>
    <row r="4">
      <c r="A4" s="1" t="inlineStr">
        <is>
          <t>ROLLUP #</t>
        </is>
      </c>
      <c r="B4" t="inlineStr">
        <is>
          <t>1092</t>
        </is>
      </c>
    </row>
    <row r="5">
      <c r="A5" s="1" t="inlineStr">
        <is>
          <t>PROJECT NAME</t>
        </is>
      </c>
      <c r="B5" t="inlineStr">
        <is>
          <t>Organic Industrial Base OIB Modernization Challege Cybersecure Data Compliance for Integrated Sensors nd Shop Floor Digitization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217.98</v>
      </c>
      <c r="W18" s="2" t="n">
        <v>878.92</v>
      </c>
      <c r="X18" s="2" t="n">
        <v>1615.93</v>
      </c>
      <c r="Y18" s="2" t="n">
        <v>1149.23</v>
      </c>
      <c r="Z18" s="2" t="n">
        <v>1826.22</v>
      </c>
      <c r="AA18" s="2" t="n">
        <v>1647.44</v>
      </c>
      <c r="AE18" s="10">
        <f>SUM(C18:AD18)</f>
        <v/>
      </c>
    </row>
    <row r="19">
      <c r="B19" t="inlineStr">
        <is>
          <t>Fringe 5990</t>
        </is>
      </c>
      <c r="V19" s="2" t="n">
        <v>104.84</v>
      </c>
      <c r="W19" s="2" t="n">
        <v>441.75</v>
      </c>
      <c r="X19" s="2" t="n">
        <v>812.17</v>
      </c>
      <c r="Y19" s="2" t="n">
        <v>577.61</v>
      </c>
      <c r="Z19" s="2" t="n">
        <v>917.86</v>
      </c>
      <c r="AA19" s="2" t="n">
        <v>891.76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12714.94</v>
      </c>
      <c r="X21" s="2" t="n">
        <v>133620.8</v>
      </c>
      <c r="Y21" s="2" t="n">
        <v>313200.79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389.08</v>
      </c>
      <c r="X27" s="2" t="n">
        <v>3915.09</v>
      </c>
      <c r="Y27" s="2" t="n">
        <v>9176.780000000001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424.16</v>
      </c>
      <c r="W29" s="2" t="n">
        <v>1753.71</v>
      </c>
      <c r="X29" s="2" t="n">
        <v>3224.28</v>
      </c>
      <c r="Y29" s="2" t="n">
        <v>2293.07</v>
      </c>
      <c r="Z29" s="2" t="n">
        <v>3643.87</v>
      </c>
      <c r="AA29" s="2" t="n">
        <v>3459.92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1722</v>
      </c>
      <c r="W32" s="2" t="n">
        <v>2583</v>
      </c>
      <c r="X32" s="2" t="n">
        <v>2583</v>
      </c>
      <c r="AE32" s="10">
        <f>SUM(C32:AD32)</f>
        <v/>
      </c>
    </row>
    <row r="33">
      <c r="B33" t="inlineStr">
        <is>
          <t>Fringe 5990</t>
        </is>
      </c>
      <c r="V33" s="2" t="n">
        <v>828</v>
      </c>
      <c r="W33" s="2" t="n">
        <v>1242</v>
      </c>
      <c r="X33" s="2" t="n">
        <v>1243</v>
      </c>
      <c r="AE33" s="10">
        <f>SUM(C33:AD33)</f>
        <v/>
      </c>
    </row>
    <row r="34">
      <c r="B34" t="inlineStr">
        <is>
          <t>Travel 5004</t>
        </is>
      </c>
      <c r="V34" s="2" t="n">
        <v>250</v>
      </c>
      <c r="W34" s="2" t="n">
        <v>375</v>
      </c>
      <c r="X34" s="2" t="n">
        <v>375</v>
      </c>
      <c r="AE34" s="10">
        <f>SUM(C34:AD34)</f>
        <v/>
      </c>
    </row>
    <row r="35">
      <c r="B35" t="inlineStr">
        <is>
          <t>Subcontracting 5005</t>
        </is>
      </c>
      <c r="V35" s="2" t="n">
        <v>131428</v>
      </c>
      <c r="W35" s="2" t="n">
        <v>197142</v>
      </c>
      <c r="X35" s="2" t="n">
        <v>131430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4022</v>
      </c>
      <c r="W41" s="2" t="n">
        <v>6033</v>
      </c>
      <c r="X41" s="2" t="n">
        <v>4021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3680</v>
      </c>
      <c r="W43" s="2" t="n">
        <v>5520</v>
      </c>
      <c r="X43" s="2" t="n">
        <v>5523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500000</v>
      </c>
      <c r="AE45" s="10">
        <f>SUM(C45:AD45)</f>
        <v/>
      </c>
    </row>
    <row r="46">
      <c r="B46" t="inlineStr">
        <is>
          <t>Obligated</t>
        </is>
      </c>
      <c r="V46" s="2" t="n">
        <v>500000</v>
      </c>
      <c r="AE46" s="10">
        <f>SUM(C46:AD46)</f>
        <v/>
      </c>
    </row>
    <row r="47">
      <c r="B47" t="inlineStr">
        <is>
          <t>Expended</t>
        </is>
      </c>
      <c r="W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2ADP093</t>
        </is>
      </c>
    </row>
    <row r="4">
      <c r="A4" s="1" t="inlineStr">
        <is>
          <t>ROLLUP #</t>
        </is>
      </c>
      <c r="B4" t="inlineStr">
        <is>
          <t>1093</t>
        </is>
      </c>
    </row>
    <row r="5">
      <c r="A5" s="1" t="inlineStr">
        <is>
          <t>PROJECT NAME</t>
        </is>
      </c>
      <c r="B5" t="inlineStr">
        <is>
          <t>Acceleration Factors nd Life Models for Sustainable non PFAS Packaging Materials nd Processes</t>
        </is>
      </c>
    </row>
    <row r="6">
      <c r="A6" s="1" t="inlineStr">
        <is>
          <t>TECHNICAL POINT OF CONTACT</t>
        </is>
      </c>
      <c r="B6" t="inlineStr">
        <is>
          <t>Kenneth Blecker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EV, EW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132.96</v>
      </c>
      <c r="W18" s="2" t="n">
        <v>5759.55</v>
      </c>
      <c r="X18" s="2" t="n">
        <v>3349.7</v>
      </c>
      <c r="Y18" s="2" t="n">
        <v>59.36</v>
      </c>
      <c r="Z18" s="2" t="n">
        <v>771.6799999999999</v>
      </c>
      <c r="AA18" s="2" t="n">
        <v>59.11</v>
      </c>
      <c r="AE18" s="10">
        <f>SUM(C18:AD18)</f>
        <v/>
      </c>
    </row>
    <row r="19">
      <c r="B19" t="inlineStr">
        <is>
          <t>Fringe 5990</t>
        </is>
      </c>
      <c r="V19" s="2" t="n">
        <v>63.95</v>
      </c>
      <c r="W19" s="2" t="n">
        <v>2894.75</v>
      </c>
      <c r="X19" s="2" t="n">
        <v>1683.55</v>
      </c>
      <c r="Y19" s="2" t="n">
        <v>29.83</v>
      </c>
      <c r="Z19" s="2" t="n">
        <v>387.85</v>
      </c>
      <c r="AA19" s="2" t="n">
        <v>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8329.309999999999</v>
      </c>
      <c r="Z21" s="2" t="n">
        <v>31486.27</v>
      </c>
      <c r="AB21" s="2" t="n">
        <v>31872.2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X26" s="2" t="n">
        <v>198.01</v>
      </c>
      <c r="AE26" s="10">
        <f>SUM(C26:AD26)</f>
        <v/>
      </c>
    </row>
    <row r="27">
      <c r="B27" t="inlineStr">
        <is>
          <t>Sub K Overhead 5992</t>
        </is>
      </c>
      <c r="Y27" s="2" t="n">
        <v>244.05</v>
      </c>
      <c r="Z27" s="2" t="n">
        <v>922.55</v>
      </c>
      <c r="AB27" s="2" t="n">
        <v>965.73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258.72</v>
      </c>
      <c r="W29" s="2" t="n">
        <v>11492.04</v>
      </c>
      <c r="X29" s="2" t="n">
        <v>6946.6</v>
      </c>
      <c r="Y29" s="2" t="n">
        <v>118.44</v>
      </c>
      <c r="Z29" s="2" t="n">
        <v>1539.74</v>
      </c>
      <c r="AA29" s="2" t="n">
        <v>124.15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505</v>
      </c>
      <c r="W32" s="2" t="n">
        <v>1515</v>
      </c>
      <c r="X32" s="2" t="n">
        <v>1515</v>
      </c>
      <c r="Y32" s="2" t="n">
        <v>1515</v>
      </c>
      <c r="Z32" s="2" t="n">
        <v>1515</v>
      </c>
      <c r="AA32" s="2" t="n">
        <v>1515</v>
      </c>
      <c r="AB32" s="2" t="n">
        <v>1515</v>
      </c>
      <c r="AC32" s="2" t="n">
        <v>1515</v>
      </c>
      <c r="AD32" s="2" t="n">
        <v>1519</v>
      </c>
      <c r="AE32" s="10">
        <f>SUM(C32:AD32)</f>
        <v/>
      </c>
    </row>
    <row r="33">
      <c r="B33" t="inlineStr">
        <is>
          <t>Fringe 5990</t>
        </is>
      </c>
      <c r="V33" s="2" t="n">
        <v>254</v>
      </c>
      <c r="W33" s="2" t="n">
        <v>762</v>
      </c>
      <c r="X33" s="2" t="n">
        <v>762</v>
      </c>
      <c r="Y33" s="2" t="n">
        <v>762</v>
      </c>
      <c r="Z33" s="2" t="n">
        <v>762</v>
      </c>
      <c r="AA33" s="2" t="n">
        <v>762</v>
      </c>
      <c r="AB33" s="2" t="n">
        <v>762</v>
      </c>
      <c r="AC33" s="2" t="n">
        <v>762</v>
      </c>
      <c r="AD33" s="2" t="n">
        <v>760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W35" s="2" t="n">
        <v>24545</v>
      </c>
      <c r="X35" s="2" t="n">
        <v>73635</v>
      </c>
      <c r="Y35" s="2" t="n">
        <v>73635</v>
      </c>
      <c r="Z35" s="2" t="n">
        <v>73635</v>
      </c>
      <c r="AA35" s="2" t="n">
        <v>73635</v>
      </c>
      <c r="AB35" s="2" t="n">
        <v>73635</v>
      </c>
      <c r="AC35" s="2" t="n">
        <v>73635</v>
      </c>
      <c r="AD35" s="2" t="n">
        <v>73645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W41" s="2" t="n">
        <v>719</v>
      </c>
      <c r="X41" s="2" t="n">
        <v>2157</v>
      </c>
      <c r="Y41" s="2" t="n">
        <v>2157</v>
      </c>
      <c r="Z41" s="2" t="n">
        <v>2157</v>
      </c>
      <c r="AA41" s="2" t="n">
        <v>2157</v>
      </c>
      <c r="AB41" s="2" t="n">
        <v>2157</v>
      </c>
      <c r="AC41" s="2" t="n">
        <v>2157</v>
      </c>
      <c r="AD41" s="2" t="n">
        <v>2161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1007</v>
      </c>
      <c r="W43" s="2" t="n">
        <v>3021</v>
      </c>
      <c r="X43" s="2" t="n">
        <v>3021</v>
      </c>
      <c r="Y43" s="2" t="n">
        <v>3021</v>
      </c>
      <c r="Z43" s="2" t="n">
        <v>3021</v>
      </c>
      <c r="AA43" s="2" t="n">
        <v>3021</v>
      </c>
      <c r="AB43" s="2" t="n">
        <v>3021</v>
      </c>
      <c r="AC43" s="2" t="n">
        <v>3021</v>
      </c>
      <c r="AD43" s="2" t="n">
        <v>3047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600000</v>
      </c>
      <c r="AE45" s="10">
        <f>SUM(C45:AD45)</f>
        <v/>
      </c>
    </row>
    <row r="46">
      <c r="B46" t="inlineStr">
        <is>
          <t>Obligated</t>
        </is>
      </c>
      <c r="V46" s="2" t="n">
        <v>600000</v>
      </c>
      <c r="AE46" s="10">
        <f>SUM(C46:AD46)</f>
        <v/>
      </c>
    </row>
    <row r="47">
      <c r="B47" t="inlineStr">
        <is>
          <t>Expended</t>
        </is>
      </c>
      <c r="W47" s="2" t="n">
        <v>250000</v>
      </c>
      <c r="X47" s="2" t="n">
        <v>100000</v>
      </c>
      <c r="Y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2ADP094</t>
        </is>
      </c>
    </row>
    <row r="4">
      <c r="A4" s="1" t="inlineStr">
        <is>
          <t>ROLLUP #</t>
        </is>
      </c>
      <c r="B4" t="inlineStr">
        <is>
          <t>713108</t>
        </is>
      </c>
    </row>
    <row r="5">
      <c r="A5" s="1" t="inlineStr">
        <is>
          <t>PROJECT NAME</t>
        </is>
      </c>
      <c r="B5" t="inlineStr">
        <is>
          <t>ONR - Attritable Fuel Cells for Navy</t>
        </is>
      </c>
    </row>
    <row r="6">
      <c r="A6" s="1" t="inlineStr">
        <is>
          <t>TECHNICAL POINT OF CONTACT</t>
        </is>
      </c>
      <c r="B6" t="inlineStr">
        <is>
          <t>Michele Anderson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5016.1</v>
      </c>
      <c r="Z18" s="2" t="n">
        <v>5872.78</v>
      </c>
      <c r="AA18" s="2" t="n">
        <v>10381.63</v>
      </c>
      <c r="AB18" s="2" t="n">
        <v>10255.85</v>
      </c>
      <c r="AE18" s="10">
        <f>SUM(C18:AD18)</f>
        <v/>
      </c>
    </row>
    <row r="19">
      <c r="B19" t="inlineStr">
        <is>
          <t>Fringe 5990</t>
        </is>
      </c>
      <c r="Y19" s="2" t="n">
        <v>2521.1</v>
      </c>
      <c r="Z19" s="2" t="n">
        <v>2951.67</v>
      </c>
      <c r="AA19" s="2" t="n">
        <v>5619.58</v>
      </c>
      <c r="AB19" s="2" t="n">
        <v>5407.64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64.02</v>
      </c>
      <c r="AB25" s="2" t="n">
        <v>229.73</v>
      </c>
      <c r="AE25" s="10">
        <f>SUM(C25:AD25)</f>
        <v/>
      </c>
    </row>
    <row r="26">
      <c r="B26" t="inlineStr">
        <is>
          <t>Material 5003</t>
        </is>
      </c>
      <c r="AA26" s="2" t="n">
        <v>1986.7</v>
      </c>
      <c r="AB26" s="2" t="n">
        <v>1298.05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10008.65</v>
      </c>
      <c r="Z29" s="2" t="n">
        <v>11717.98</v>
      </c>
      <c r="AA29" s="2" t="n">
        <v>24597.56</v>
      </c>
      <c r="AB29" s="2" t="n">
        <v>23062.73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10278</v>
      </c>
      <c r="Z32" s="2" t="n">
        <v>15417</v>
      </c>
      <c r="AA32" s="2" t="n">
        <v>15417</v>
      </c>
      <c r="AB32" s="2" t="n">
        <v>15417</v>
      </c>
      <c r="AC32" s="2" t="n">
        <v>10284</v>
      </c>
      <c r="AE32" s="10">
        <f>SUM(C32:AD32)</f>
        <v/>
      </c>
    </row>
    <row r="33">
      <c r="B33" t="inlineStr">
        <is>
          <t>Fringe 5990</t>
        </is>
      </c>
      <c r="Y33" s="2" t="n">
        <v>5166</v>
      </c>
      <c r="Z33" s="2" t="n">
        <v>7749</v>
      </c>
      <c r="AA33" s="2" t="n">
        <v>7749</v>
      </c>
      <c r="AB33" s="2" t="n">
        <v>7749</v>
      </c>
      <c r="AC33" s="2" t="n">
        <v>5167</v>
      </c>
      <c r="AE33" s="10">
        <f>SUM(C33:AD33)</f>
        <v/>
      </c>
    </row>
    <row r="34">
      <c r="B34" t="inlineStr">
        <is>
          <t>Travel 5004</t>
        </is>
      </c>
      <c r="Y34" s="2" t="n">
        <v>308</v>
      </c>
      <c r="Z34" s="2" t="n">
        <v>462</v>
      </c>
      <c r="AA34" s="2" t="n">
        <v>462</v>
      </c>
      <c r="AB34" s="2" t="n">
        <v>462</v>
      </c>
      <c r="AC34" s="2" t="n">
        <v>306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Y40" s="2" t="n">
        <v>770</v>
      </c>
      <c r="Z40" s="2" t="n">
        <v>1155</v>
      </c>
      <c r="AA40" s="2" t="n">
        <v>1155</v>
      </c>
      <c r="AB40" s="2" t="n">
        <v>1155</v>
      </c>
      <c r="AC40" s="2" t="n">
        <v>765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21940</v>
      </c>
      <c r="Z43" s="2" t="n">
        <v>32910</v>
      </c>
      <c r="AA43" s="2" t="n">
        <v>32910</v>
      </c>
      <c r="AB43" s="2" t="n">
        <v>32910</v>
      </c>
      <c r="AC43" s="2" t="n">
        <v>21937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250000</v>
      </c>
      <c r="AE45" s="10">
        <f>SUM(C45:AD45)</f>
        <v/>
      </c>
    </row>
    <row r="46">
      <c r="B46" t="inlineStr">
        <is>
          <t>Obligated</t>
        </is>
      </c>
      <c r="Y46" s="2" t="n">
        <v>250000</v>
      </c>
      <c r="AE46" s="10">
        <f>SUM(C46:AD46)</f>
        <v/>
      </c>
    </row>
    <row r="47">
      <c r="B47" t="inlineStr">
        <is>
          <t>Expended</t>
        </is>
      </c>
      <c r="Z47" s="2" t="n">
        <v>100000</v>
      </c>
      <c r="AA47" s="2" t="n">
        <v>100000</v>
      </c>
      <c r="AB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2ADP095</t>
        </is>
      </c>
    </row>
    <row r="4">
      <c r="A4" s="1" t="inlineStr">
        <is>
          <t>ROLLUP #</t>
        </is>
      </c>
      <c r="B4" t="inlineStr">
        <is>
          <t>1095</t>
        </is>
      </c>
    </row>
    <row r="5">
      <c r="A5" s="1" t="inlineStr">
        <is>
          <t>PROJECT NAME</t>
        </is>
      </c>
      <c r="B5" t="inlineStr">
        <is>
          <t>NSIN Hacking For Defense FY 2024</t>
        </is>
      </c>
    </row>
    <row r="6">
      <c r="A6" s="1" t="inlineStr">
        <is>
          <t>TECHNICAL POINT OF CONTACT</t>
        </is>
      </c>
      <c r="B6" t="inlineStr">
        <is>
          <t>Ngoc Lund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ET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2428.45</v>
      </c>
      <c r="W18" s="2" t="n">
        <v>25518.06</v>
      </c>
      <c r="X18" s="2" t="n">
        <v>33622.07</v>
      </c>
      <c r="Y18" s="2" t="n">
        <v>8227.120000000001</v>
      </c>
      <c r="Z18" s="2" t="n">
        <v>-71.7</v>
      </c>
      <c r="AE18" s="10">
        <f>SUM(C18:AD18)</f>
        <v/>
      </c>
    </row>
    <row r="19">
      <c r="B19" t="inlineStr">
        <is>
          <t>Fringe 5990</t>
        </is>
      </c>
      <c r="V19" s="2" t="n">
        <v>1168.08</v>
      </c>
      <c r="W19" s="2" t="n">
        <v>12825.38</v>
      </c>
      <c r="X19" s="2" t="n">
        <v>16898.45</v>
      </c>
      <c r="Y19" s="2" t="n">
        <v>4134.95</v>
      </c>
      <c r="Z19" s="2" t="n">
        <v>-36.04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192916.97</v>
      </c>
      <c r="W21" s="2" t="n">
        <v>874342.5600000001</v>
      </c>
      <c r="X21" s="2" t="n">
        <v>789223.85</v>
      </c>
      <c r="Y21" s="2" t="n">
        <v>518239.51</v>
      </c>
      <c r="Z21" s="2" t="n">
        <v>775277.11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2184.4</v>
      </c>
      <c r="AE25" s="10">
        <f>SUM(C25:AD25)</f>
        <v/>
      </c>
    </row>
    <row r="26">
      <c r="B26" t="inlineStr">
        <is>
          <t>Material 5003</t>
        </is>
      </c>
      <c r="W26" s="2" t="n">
        <v>1947.09</v>
      </c>
      <c r="X26" s="2" t="n">
        <v>660.35</v>
      </c>
      <c r="Y26" s="2" t="n">
        <v>1110</v>
      </c>
      <c r="AE26" s="10">
        <f>SUM(C26:AD26)</f>
        <v/>
      </c>
    </row>
    <row r="27">
      <c r="B27" t="inlineStr">
        <is>
          <t>Sub K Overhead 5992</t>
        </is>
      </c>
      <c r="V27" s="2" t="n">
        <v>5903.26</v>
      </c>
      <c r="W27" s="2" t="n">
        <v>25618.24</v>
      </c>
      <c r="X27" s="2" t="n">
        <v>23124.26</v>
      </c>
      <c r="Y27" s="2" t="n">
        <v>15184.42</v>
      </c>
      <c r="Z27" s="2" t="n">
        <v>22715.61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4725.48</v>
      </c>
      <c r="W29" s="2" t="n">
        <v>53501.8</v>
      </c>
      <c r="X29" s="2" t="n">
        <v>67963.08</v>
      </c>
      <c r="Y29" s="2" t="n">
        <v>20790.23</v>
      </c>
      <c r="Z29" s="2" t="n">
        <v>-143.07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5666</v>
      </c>
      <c r="W32" s="2" t="n">
        <v>16998</v>
      </c>
      <c r="X32" s="2" t="n">
        <v>16998</v>
      </c>
      <c r="Y32" s="2" t="n">
        <v>16998</v>
      </c>
      <c r="Z32" s="2" t="n">
        <v>17013</v>
      </c>
      <c r="AE32" s="10">
        <f>SUM(C32:AD32)</f>
        <v/>
      </c>
    </row>
    <row r="33">
      <c r="B33" t="inlineStr">
        <is>
          <t>Fringe 5990</t>
        </is>
      </c>
      <c r="V33" s="2" t="n">
        <v>2848</v>
      </c>
      <c r="W33" s="2" t="n">
        <v>8544</v>
      </c>
      <c r="X33" s="2" t="n">
        <v>8544</v>
      </c>
      <c r="Y33" s="2" t="n">
        <v>8544</v>
      </c>
      <c r="Z33" s="2" t="n">
        <v>8549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262500</v>
      </c>
      <c r="W35" s="2" t="n">
        <v>787500</v>
      </c>
      <c r="X35" s="2" t="n">
        <v>787500</v>
      </c>
      <c r="Y35" s="2" t="n">
        <v>787500</v>
      </c>
      <c r="Z35" s="2" t="n">
        <v>525000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7691</v>
      </c>
      <c r="W41" s="2" t="n">
        <v>23073</v>
      </c>
      <c r="X41" s="2" t="n">
        <v>23073</v>
      </c>
      <c r="Y41" s="2" t="n">
        <v>23073</v>
      </c>
      <c r="Z41" s="2" t="n">
        <v>15385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11308</v>
      </c>
      <c r="W43" s="2" t="n">
        <v>33924</v>
      </c>
      <c r="X43" s="2" t="n">
        <v>33924</v>
      </c>
      <c r="Y43" s="2" t="n">
        <v>33924</v>
      </c>
      <c r="Z43" s="2" t="n">
        <v>33923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3500000</v>
      </c>
      <c r="AE45" s="10">
        <f>SUM(C45:AD45)</f>
        <v/>
      </c>
    </row>
    <row r="46">
      <c r="B46" t="inlineStr">
        <is>
          <t>Obligated</t>
        </is>
      </c>
      <c r="V46" s="2" t="n">
        <v>3500000</v>
      </c>
      <c r="AE46" s="10">
        <f>SUM(C46:AD46)</f>
        <v/>
      </c>
    </row>
    <row r="47">
      <c r="B47" t="inlineStr">
        <is>
          <t>Expended</t>
        </is>
      </c>
      <c r="W47" s="2" t="n">
        <v>2500000</v>
      </c>
      <c r="X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2ADP096</t>
        </is>
      </c>
    </row>
    <row r="4">
      <c r="A4" s="1" t="inlineStr">
        <is>
          <t>ROLLUP #</t>
        </is>
      </c>
      <c r="B4" t="inlineStr">
        <is>
          <t>1096</t>
        </is>
      </c>
    </row>
    <row r="5">
      <c r="A5" s="1" t="inlineStr">
        <is>
          <t>PROJECT NAME</t>
        </is>
      </c>
      <c r="B5" t="inlineStr">
        <is>
          <t>Innovation Services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1223.25</v>
      </c>
      <c r="X18" s="2" t="n">
        <v>26.59</v>
      </c>
      <c r="Y18" s="2" t="n">
        <v>61.25</v>
      </c>
      <c r="AB18" s="2" t="n">
        <v>2486</v>
      </c>
      <c r="AE18" s="10">
        <f>SUM(C18:AD18)</f>
        <v/>
      </c>
    </row>
    <row r="19">
      <c r="B19" t="inlineStr">
        <is>
          <t>Fringe 5990</t>
        </is>
      </c>
      <c r="W19" s="2" t="n">
        <v>614.8</v>
      </c>
      <c r="X19" s="2" t="n">
        <v>13.36</v>
      </c>
      <c r="Y19" s="2" t="n">
        <v>30.78</v>
      </c>
      <c r="AB19" s="2" t="n">
        <v>1345.63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W21" s="2" t="n">
        <v>116245.51</v>
      </c>
      <c r="X21" s="2" t="n">
        <v>112959.33</v>
      </c>
      <c r="Y21" s="2" t="n">
        <v>75543.92</v>
      </c>
      <c r="Z21" s="2" t="n">
        <v>44515.77</v>
      </c>
      <c r="AA21" s="2" t="n">
        <v>92335.47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B25" s="2" t="n">
        <v>63.54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W27" s="2" t="n">
        <v>3405.99</v>
      </c>
      <c r="X27" s="2" t="n">
        <v>3309.71</v>
      </c>
      <c r="Y27" s="2" t="n">
        <v>2213.44</v>
      </c>
      <c r="Z27" s="2" t="n">
        <v>1304.3</v>
      </c>
      <c r="AA27" s="2" t="n">
        <v>2797.76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2440.76</v>
      </c>
      <c r="X29" s="2" t="n">
        <v>53.05</v>
      </c>
      <c r="Y29" s="2" t="n">
        <v>122.21</v>
      </c>
      <c r="AB29" s="2" t="n">
        <v>5307.45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560</v>
      </c>
      <c r="W32" s="2" t="n">
        <v>1680</v>
      </c>
      <c r="X32" s="2" t="n">
        <v>1680</v>
      </c>
      <c r="Y32" s="2" t="n">
        <v>1680</v>
      </c>
      <c r="Z32" s="2" t="n">
        <v>1679</v>
      </c>
      <c r="AE32" s="10">
        <f>SUM(C32:AD32)</f>
        <v/>
      </c>
    </row>
    <row r="33">
      <c r="B33" t="inlineStr">
        <is>
          <t>Fringe 5990</t>
        </is>
      </c>
      <c r="V33" s="2" t="n">
        <v>281</v>
      </c>
      <c r="W33" s="2" t="n">
        <v>843</v>
      </c>
      <c r="X33" s="2" t="n">
        <v>843</v>
      </c>
      <c r="Y33" s="2" t="n">
        <v>843</v>
      </c>
      <c r="Z33" s="2" t="n">
        <v>848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33969</v>
      </c>
      <c r="W35" s="2" t="n">
        <v>101907</v>
      </c>
      <c r="X35" s="2" t="n">
        <v>101907</v>
      </c>
      <c r="Y35" s="2" t="n">
        <v>101907</v>
      </c>
      <c r="Z35" s="2" t="n">
        <v>101910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995</v>
      </c>
      <c r="W41" s="2" t="n">
        <v>2985</v>
      </c>
      <c r="X41" s="2" t="n">
        <v>2985</v>
      </c>
      <c r="Y41" s="2" t="n">
        <v>2985</v>
      </c>
      <c r="Z41" s="2" t="n">
        <v>2989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1117</v>
      </c>
      <c r="W43" s="2" t="n">
        <v>3351</v>
      </c>
      <c r="X43" s="2" t="n">
        <v>3351</v>
      </c>
      <c r="Y43" s="2" t="n">
        <v>3351</v>
      </c>
      <c r="Z43" s="2" t="n">
        <v>3354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480000</v>
      </c>
      <c r="AE45" s="10">
        <f>SUM(C45:AD45)</f>
        <v/>
      </c>
    </row>
    <row r="46">
      <c r="B46" t="inlineStr">
        <is>
          <t>Obligated</t>
        </is>
      </c>
      <c r="W46" s="2" t="n">
        <v>480000</v>
      </c>
      <c r="AE46" s="10">
        <f>SUM(C46:AD46)</f>
        <v/>
      </c>
    </row>
    <row r="47">
      <c r="B47" t="inlineStr">
        <is>
          <t>Expended</t>
        </is>
      </c>
      <c r="W47" s="2" t="n">
        <v>300000</v>
      </c>
      <c r="X47" s="2" t="n">
        <v>180000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2ADP097</t>
        </is>
      </c>
    </row>
    <row r="4">
      <c r="A4" s="1" t="inlineStr">
        <is>
          <t>ROLLUP #</t>
        </is>
      </c>
      <c r="B4" t="inlineStr">
        <is>
          <t>1097</t>
        </is>
      </c>
    </row>
    <row r="5">
      <c r="A5" s="1" t="inlineStr">
        <is>
          <t>PROJECT NAME</t>
        </is>
      </c>
      <c r="B5" t="inlineStr">
        <is>
          <t>FY 2024 Hacking for Manufacturing H4M</t>
        </is>
      </c>
    </row>
    <row r="6">
      <c r="A6" s="1" t="inlineStr">
        <is>
          <t>TECHNICAL POINT OF CONTACT</t>
        </is>
      </c>
      <c r="B6" t="inlineStr">
        <is>
          <t>Jeffrey Pacuska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648.48</v>
      </c>
      <c r="W18" s="2" t="n">
        <v>2627.03</v>
      </c>
      <c r="Y18" s="2" t="n">
        <v>-329.16</v>
      </c>
      <c r="AE18" s="10">
        <f>SUM(C18:AD18)</f>
        <v/>
      </c>
    </row>
    <row r="19">
      <c r="B19" t="inlineStr">
        <is>
          <t>Fringe 5990</t>
        </is>
      </c>
      <c r="V19" s="2" t="n">
        <v>311.92</v>
      </c>
      <c r="W19" s="2" t="n">
        <v>1320.35</v>
      </c>
      <c r="Y19" s="2" t="n">
        <v>-165.44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13725</v>
      </c>
      <c r="W21" s="2" t="n">
        <v>41175</v>
      </c>
      <c r="X21" s="2" t="n">
        <v>41175</v>
      </c>
      <c r="Y21" s="2" t="n">
        <v>16701.1</v>
      </c>
      <c r="Z21" s="2" t="n">
        <v>29587.04</v>
      </c>
      <c r="AA21" s="2" t="n">
        <v>7239.07</v>
      </c>
      <c r="AB21" s="2" t="n">
        <v>3741.12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419.99</v>
      </c>
      <c r="W27" s="2" t="n">
        <v>1206.43</v>
      </c>
      <c r="X27" s="2" t="n">
        <v>1206.43</v>
      </c>
      <c r="Y27" s="2" t="n">
        <v>489.34</v>
      </c>
      <c r="Z27" s="2" t="n">
        <v>866.9</v>
      </c>
      <c r="AA27" s="2" t="n">
        <v>219.35</v>
      </c>
      <c r="AB27" s="2" t="n">
        <v>113.35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1261.86</v>
      </c>
      <c r="W29" s="2" t="n">
        <v>5241.73</v>
      </c>
      <c r="Y29" s="2" t="n">
        <v>-656.78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428</v>
      </c>
      <c r="W32" s="2" t="n">
        <v>642</v>
      </c>
      <c r="X32" s="2" t="n">
        <v>642</v>
      </c>
      <c r="Y32" s="2" t="n">
        <v>642</v>
      </c>
      <c r="Z32" s="2" t="n">
        <v>639</v>
      </c>
      <c r="AE32" s="10">
        <f>SUM(C32:AD32)</f>
        <v/>
      </c>
    </row>
    <row r="33">
      <c r="B33" t="inlineStr">
        <is>
          <t>Fringe 5990</t>
        </is>
      </c>
      <c r="V33" s="2" t="n">
        <v>206</v>
      </c>
      <c r="W33" s="2" t="n">
        <v>309</v>
      </c>
      <c r="X33" s="2" t="n">
        <v>309</v>
      </c>
      <c r="Y33" s="2" t="n">
        <v>309</v>
      </c>
      <c r="Z33" s="2" t="n">
        <v>307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13725</v>
      </c>
      <c r="W35" s="2" t="n">
        <v>41175</v>
      </c>
      <c r="X35" s="2" t="n">
        <v>41175</v>
      </c>
      <c r="Y35" s="2" t="n">
        <v>41175</v>
      </c>
      <c r="Z35" s="2" t="n">
        <v>27450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420</v>
      </c>
      <c r="W41" s="2" t="n">
        <v>1260</v>
      </c>
      <c r="X41" s="2" t="n">
        <v>1260</v>
      </c>
      <c r="Y41" s="2" t="n">
        <v>1260</v>
      </c>
      <c r="Z41" s="2" t="n">
        <v>840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832</v>
      </c>
      <c r="W43" s="2" t="n">
        <v>1248</v>
      </c>
      <c r="X43" s="2" t="n">
        <v>1248</v>
      </c>
      <c r="Y43" s="2" t="n">
        <v>1248</v>
      </c>
      <c r="Z43" s="2" t="n">
        <v>1251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180000</v>
      </c>
      <c r="AE45" s="10">
        <f>SUM(C45:AD45)</f>
        <v/>
      </c>
    </row>
    <row r="46">
      <c r="B46" t="inlineStr">
        <is>
          <t>Obligated</t>
        </is>
      </c>
      <c r="V46" s="2" t="n">
        <v>180000</v>
      </c>
      <c r="AE46" s="10">
        <f>SUM(C46:AD46)</f>
        <v/>
      </c>
    </row>
    <row r="47">
      <c r="B47" t="inlineStr">
        <is>
          <t>Expended</t>
        </is>
      </c>
      <c r="W47" s="2" t="n">
        <v>180000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2ADP098</t>
        </is>
      </c>
    </row>
    <row r="4">
      <c r="A4" s="1" t="inlineStr">
        <is>
          <t>ROLLUP #</t>
        </is>
      </c>
      <c r="B4" t="inlineStr">
        <is>
          <t>1098</t>
        </is>
      </c>
    </row>
    <row r="5">
      <c r="A5" s="1" t="inlineStr">
        <is>
          <t>PROJECT NAME</t>
        </is>
      </c>
      <c r="B5" t="inlineStr">
        <is>
          <t>OSD Hybrid Electronic CII FY24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ADP-EWD, 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ES</t>
        </is>
      </c>
    </row>
    <row r="11">
      <c r="A11" s="1" t="inlineStr">
        <is>
          <t>AVAILABLE FUNDS</t>
        </is>
      </c>
      <c r="B11" s="2" t="n">
        <v>1265150.33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28194.73</v>
      </c>
      <c r="X18" s="2" t="n">
        <v>21512.25</v>
      </c>
      <c r="Y18" s="2" t="n">
        <v>48097.28</v>
      </c>
      <c r="Z18" s="2" t="n">
        <v>55332.04</v>
      </c>
      <c r="AA18" s="2" t="n">
        <v>37123.45</v>
      </c>
      <c r="AB18" s="2" t="n">
        <v>23992.1</v>
      </c>
      <c r="AE18" s="10">
        <f>SUM(C18:AD18)</f>
        <v/>
      </c>
    </row>
    <row r="19">
      <c r="B19" t="inlineStr">
        <is>
          <t>Fringe 5990</t>
        </is>
      </c>
      <c r="W19" s="2" t="n">
        <v>14170.67</v>
      </c>
      <c r="X19" s="2" t="n">
        <v>10812.06</v>
      </c>
      <c r="Y19" s="2" t="n">
        <v>24173.69</v>
      </c>
      <c r="Z19" s="2" t="n">
        <v>27809.88</v>
      </c>
      <c r="AA19" s="2" t="n">
        <v>20094.92</v>
      </c>
      <c r="AB19" s="2" t="n">
        <v>12792.94</v>
      </c>
      <c r="AE19" s="10">
        <f>SUM(C19:AD19)</f>
        <v/>
      </c>
    </row>
    <row r="20">
      <c r="B20" t="inlineStr">
        <is>
          <t>Travel 5004</t>
        </is>
      </c>
      <c r="W20" s="2" t="n">
        <v>16093.89</v>
      </c>
      <c r="X20" s="2" t="n">
        <v>4607.71</v>
      </c>
      <c r="Y20" s="2" t="n">
        <v>12315.76</v>
      </c>
      <c r="Z20" s="2" t="n">
        <v>10862.7</v>
      </c>
      <c r="AB20" s="2" t="n">
        <v>6953.99</v>
      </c>
      <c r="AE20" s="10">
        <f>SUM(C20:AD20)</f>
        <v/>
      </c>
    </row>
    <row r="21">
      <c r="B21" t="inlineStr">
        <is>
          <t>Subcontracting 5005</t>
        </is>
      </c>
      <c r="AA21" s="2" t="n">
        <v>333872.81</v>
      </c>
      <c r="AB21" s="2" t="n">
        <v>-267255.5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23570.98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4705</v>
      </c>
      <c r="X25" s="2" t="n">
        <v>1505.88</v>
      </c>
      <c r="Y25" s="2" t="n">
        <v>11258.19</v>
      </c>
      <c r="Z25" s="2" t="n">
        <v>27050</v>
      </c>
      <c r="AE25" s="10">
        <f>SUM(C25:AD25)</f>
        <v/>
      </c>
    </row>
    <row r="26">
      <c r="B26" t="inlineStr">
        <is>
          <t>Material 5003</t>
        </is>
      </c>
      <c r="W26" s="2" t="n">
        <v>138.19</v>
      </c>
      <c r="AA26" s="2" t="n">
        <v>675</v>
      </c>
      <c r="AE26" s="10">
        <f>SUM(C26:AD26)</f>
        <v/>
      </c>
    </row>
    <row r="27">
      <c r="B27" t="inlineStr">
        <is>
          <t>Sub K Overhead 5992</t>
        </is>
      </c>
      <c r="AA27" s="2" t="n">
        <v>10116.34</v>
      </c>
      <c r="AB27" s="2" t="n">
        <v>-8097.84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84059.36</v>
      </c>
      <c r="X29" s="2" t="n">
        <v>51041.68</v>
      </c>
      <c r="Y29" s="2" t="n">
        <v>127272.45</v>
      </c>
      <c r="Z29" s="2" t="n">
        <v>160748.44</v>
      </c>
      <c r="AA29" s="2" t="n">
        <v>78885.49000000001</v>
      </c>
      <c r="AB29" s="2" t="n">
        <v>59110.49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31565.33</v>
      </c>
      <c r="W32" s="2" t="n">
        <v>94695.99000000001</v>
      </c>
      <c r="X32" s="2" t="n">
        <v>94695.99000000001</v>
      </c>
      <c r="Y32" s="2" t="n">
        <v>94695.99000000001</v>
      </c>
      <c r="Z32" s="2" t="n">
        <v>94695.99000000001</v>
      </c>
      <c r="AA32" s="2" t="n">
        <v>94695.99000000001</v>
      </c>
      <c r="AB32" s="2" t="n">
        <v>82044.06</v>
      </c>
      <c r="AC32" s="2" t="n">
        <v>56740.2</v>
      </c>
      <c r="AD32" s="2" t="n">
        <v>56740.2</v>
      </c>
      <c r="AE32" s="10">
        <f>SUM(C32:AD32)</f>
        <v/>
      </c>
    </row>
    <row r="33">
      <c r="B33" t="inlineStr">
        <is>
          <t>Fringe 5990</t>
        </is>
      </c>
      <c r="V33" s="2" t="n">
        <v>16533.35</v>
      </c>
      <c r="W33" s="2" t="n">
        <v>49600.05</v>
      </c>
      <c r="X33" s="2" t="n">
        <v>49600.05</v>
      </c>
      <c r="Y33" s="2" t="n">
        <v>49600.05</v>
      </c>
      <c r="Z33" s="2" t="n">
        <v>49600.05</v>
      </c>
      <c r="AA33" s="2" t="n">
        <v>49600.05</v>
      </c>
      <c r="AB33" s="2" t="n">
        <v>35902.31</v>
      </c>
      <c r="AC33" s="2" t="n">
        <v>29053.44</v>
      </c>
      <c r="AD33" s="2" t="n">
        <v>29053.44</v>
      </c>
      <c r="AE33" s="10">
        <f>SUM(C33:AD33)</f>
        <v/>
      </c>
    </row>
    <row r="34">
      <c r="B34" t="inlineStr">
        <is>
          <t>Travel 5004</t>
        </is>
      </c>
      <c r="V34" s="2" t="n">
        <v>1388.89</v>
      </c>
      <c r="W34" s="2" t="n">
        <v>4166.67</v>
      </c>
      <c r="X34" s="2" t="n">
        <v>4166.67</v>
      </c>
      <c r="Y34" s="2" t="n">
        <v>4166.67</v>
      </c>
      <c r="Z34" s="2" t="n">
        <v>4166.67</v>
      </c>
      <c r="AA34" s="2" t="n">
        <v>4166.67</v>
      </c>
      <c r="AB34" s="2" t="n">
        <v>1388.89</v>
      </c>
      <c r="AE34" s="10">
        <f>SUM(C34:AD34)</f>
        <v/>
      </c>
    </row>
    <row r="35">
      <c r="B35" t="inlineStr">
        <is>
          <t>Subcontracting 5005</t>
        </is>
      </c>
      <c r="AA35" s="2" t="n">
        <v>112534</v>
      </c>
      <c r="AB35" s="2" t="n">
        <v>516008</v>
      </c>
      <c r="AC35" s="2" t="n">
        <v>516804</v>
      </c>
      <c r="AD35" s="2" t="n">
        <v>516804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V37" s="2" t="n">
        <v>8281</v>
      </c>
      <c r="W37" s="2" t="n">
        <v>24843</v>
      </c>
      <c r="X37" s="2" t="n">
        <v>24843</v>
      </c>
      <c r="Y37" s="2" t="n">
        <v>24843</v>
      </c>
      <c r="Z37" s="2" t="n">
        <v>24843</v>
      </c>
      <c r="AA37" s="2" t="n">
        <v>24843</v>
      </c>
      <c r="AB37" s="2" t="n">
        <v>8281</v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V40" s="2" t="n">
        <v>3750</v>
      </c>
      <c r="W40" s="2" t="n">
        <v>11250</v>
      </c>
      <c r="X40" s="2" t="n">
        <v>11250</v>
      </c>
      <c r="Y40" s="2" t="n">
        <v>11250</v>
      </c>
      <c r="Z40" s="2" t="n">
        <v>11250</v>
      </c>
      <c r="AA40" s="2" t="n">
        <v>11250</v>
      </c>
      <c r="AB40" s="2" t="n">
        <v>3750</v>
      </c>
      <c r="AE40" s="10">
        <f>SUM(C40:AD40)</f>
        <v/>
      </c>
    </row>
    <row r="41">
      <c r="B41" t="inlineStr">
        <is>
          <t>Sub K Overhead 5992</t>
        </is>
      </c>
      <c r="AA41" s="2" t="n">
        <v>3408</v>
      </c>
      <c r="AB41" s="2" t="n">
        <v>15702</v>
      </c>
      <c r="AC41" s="2" t="n">
        <v>15726</v>
      </c>
      <c r="AD41" s="2" t="n">
        <v>15726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71796.08</v>
      </c>
      <c r="W43" s="2" t="n">
        <v>215388.24</v>
      </c>
      <c r="X43" s="2" t="n">
        <v>215388.24</v>
      </c>
      <c r="Y43" s="2" t="n">
        <v>215388.24</v>
      </c>
      <c r="Z43" s="2" t="n">
        <v>215388.24</v>
      </c>
      <c r="AA43" s="2" t="n">
        <v>215388.24</v>
      </c>
      <c r="AB43" s="2" t="n">
        <v>148241.28</v>
      </c>
      <c r="AC43" s="2" t="n">
        <v>114667.8</v>
      </c>
      <c r="AD43" s="2" t="n">
        <v>114667.8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9068273</v>
      </c>
      <c r="AE45" s="10">
        <f>SUM(C45:AD45)</f>
        <v/>
      </c>
    </row>
    <row r="46">
      <c r="B46" t="inlineStr">
        <is>
          <t>Obligated</t>
        </is>
      </c>
      <c r="V46" s="2" t="n">
        <v>9068273</v>
      </c>
      <c r="AE46" s="10">
        <f>SUM(C46:AD46)</f>
        <v/>
      </c>
    </row>
    <row r="47">
      <c r="B47" t="inlineStr">
        <is>
          <t>Expended</t>
        </is>
      </c>
      <c r="W47" s="2" t="n">
        <v>2200000</v>
      </c>
      <c r="X47" s="2" t="n">
        <v>500000</v>
      </c>
      <c r="Y47" s="2" t="n">
        <v>700000</v>
      </c>
      <c r="AB47" s="2" t="n">
        <v>800000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2ADP099</t>
        </is>
      </c>
    </row>
    <row r="4">
      <c r="A4" s="1" t="inlineStr">
        <is>
          <t>ROLLUP #</t>
        </is>
      </c>
      <c r="B4" t="inlineStr">
        <is>
          <t>1099</t>
        </is>
      </c>
    </row>
    <row r="5">
      <c r="A5" s="1" t="inlineStr">
        <is>
          <t>PROJECT NAME</t>
        </is>
      </c>
      <c r="B5" t="inlineStr">
        <is>
          <t>OSD Strategic Investment CII FY24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/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2ADP099</t>
        </is>
      </c>
    </row>
    <row r="4">
      <c r="A4" s="1" t="inlineStr">
        <is>
          <t>ROLLUP #</t>
        </is>
      </c>
      <c r="B4" t="inlineStr">
        <is>
          <t>Core099</t>
        </is>
      </c>
    </row>
    <row r="5">
      <c r="A5" s="1" t="inlineStr">
        <is>
          <t>PROJECT NAME</t>
        </is>
      </c>
      <c r="B5" t="inlineStr">
        <is>
          <t>OSD Strategic Investment CII FY24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Core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2ADP100</t>
        </is>
      </c>
    </row>
    <row r="4">
      <c r="A4" s="1" t="inlineStr">
        <is>
          <t>ROLLUP #</t>
        </is>
      </c>
      <c r="B4" t="inlineStr">
        <is>
          <t>1100</t>
        </is>
      </c>
    </row>
    <row r="5">
      <c r="A5" s="1" t="inlineStr">
        <is>
          <t>PROJECT NAME</t>
        </is>
      </c>
      <c r="B5" t="inlineStr">
        <is>
          <t>DF02 Array Delivery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FC FD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390.07</v>
      </c>
      <c r="X18" s="2" t="n">
        <v>1590.19</v>
      </c>
      <c r="Y18" s="2" t="n">
        <v>306.82</v>
      </c>
      <c r="AE18" s="10">
        <f>SUM(C18:AD18)</f>
        <v/>
      </c>
    </row>
    <row r="19">
      <c r="B19" t="inlineStr">
        <is>
          <t>Fringe 5990</t>
        </is>
      </c>
      <c r="W19" s="2" t="n">
        <v>196.05</v>
      </c>
      <c r="X19" s="2" t="n">
        <v>799.23</v>
      </c>
      <c r="Y19" s="2" t="n">
        <v>154.2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W23" s="2" t="n">
        <v>175000</v>
      </c>
      <c r="Y23" s="2" t="n">
        <v>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778.3099999999999</v>
      </c>
      <c r="X29" s="2" t="n">
        <v>3172.92</v>
      </c>
      <c r="Y29" s="2" t="n">
        <v>612.1900000000001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W32" s="2" t="n">
        <v>350</v>
      </c>
      <c r="X32" s="2" t="n">
        <v>525</v>
      </c>
      <c r="Y32" s="2" t="n">
        <v>525</v>
      </c>
      <c r="Z32" s="2" t="n">
        <v>525</v>
      </c>
      <c r="AA32" s="2" t="n">
        <v>361</v>
      </c>
      <c r="AE32" s="10">
        <f>SUM(C32:AD32)</f>
        <v/>
      </c>
    </row>
    <row r="33">
      <c r="B33" t="inlineStr">
        <is>
          <t>Fringe 5990</t>
        </is>
      </c>
      <c r="W33" s="2" t="n">
        <v>176</v>
      </c>
      <c r="X33" s="2" t="n">
        <v>264</v>
      </c>
      <c r="Y33" s="2" t="n">
        <v>264</v>
      </c>
      <c r="Z33" s="2" t="n">
        <v>264</v>
      </c>
      <c r="AA33" s="2" t="n">
        <v>181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W37" s="2" t="n">
        <v>27692</v>
      </c>
      <c r="X37" s="2" t="n">
        <v>41538</v>
      </c>
      <c r="Y37" s="2" t="n">
        <v>41538</v>
      </c>
      <c r="Z37" s="2" t="n">
        <v>41538</v>
      </c>
      <c r="AA37" s="2" t="n">
        <v>27694</v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W43" s="2" t="n">
        <v>702</v>
      </c>
      <c r="X43" s="2" t="n">
        <v>1053</v>
      </c>
      <c r="Y43" s="2" t="n">
        <v>1053</v>
      </c>
      <c r="Z43" s="2" t="n">
        <v>1053</v>
      </c>
      <c r="AA43" s="2" t="n">
        <v>704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188000</v>
      </c>
      <c r="AE45" s="10">
        <f>SUM(C45:AD45)</f>
        <v/>
      </c>
    </row>
    <row r="46">
      <c r="B46" t="inlineStr">
        <is>
          <t>Obligated</t>
        </is>
      </c>
      <c r="W46" s="2" t="n">
        <v>188000</v>
      </c>
      <c r="AE46" s="10">
        <f>SUM(C46:AD46)</f>
        <v/>
      </c>
    </row>
    <row r="47">
      <c r="B47" t="inlineStr">
        <is>
          <t>Expended</t>
        </is>
      </c>
      <c r="W47" s="2" t="n">
        <v>188000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2ADP101</t>
        </is>
      </c>
    </row>
    <row r="4">
      <c r="A4" s="1" t="inlineStr">
        <is>
          <t>ROLLUP #</t>
        </is>
      </c>
      <c r="B4" t="inlineStr">
        <is>
          <t>1101</t>
        </is>
      </c>
    </row>
    <row r="5">
      <c r="A5" s="1" t="inlineStr">
        <is>
          <t>PROJECT NAME</t>
        </is>
      </c>
      <c r="B5" t="inlineStr">
        <is>
          <t>OSD Hybrid Electronic CII FY25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Core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FE, FF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W32" s="2" t="n">
        <v>1160214</v>
      </c>
      <c r="X32" s="2" t="n">
        <v>1191</v>
      </c>
      <c r="Y32" s="2" t="n">
        <v>1191</v>
      </c>
      <c r="Z32" s="2" t="n">
        <v>1191</v>
      </c>
      <c r="AA32" s="2" t="n">
        <v>1191</v>
      </c>
      <c r="AB32" s="2" t="n">
        <v>1191</v>
      </c>
      <c r="AC32" s="2" t="n">
        <v>1191</v>
      </c>
      <c r="AD32" s="2" t="n">
        <v>1191</v>
      </c>
      <c r="AE32" s="10">
        <f>SUM(C32:AD32)</f>
        <v/>
      </c>
    </row>
    <row r="33">
      <c r="B33" t="inlineStr">
        <is>
          <t>Fringe 5990</t>
        </is>
      </c>
      <c r="W33" s="2" t="n">
        <v>583124</v>
      </c>
      <c r="X33" s="2" t="n">
        <v>600</v>
      </c>
      <c r="Y33" s="2" t="n">
        <v>600</v>
      </c>
      <c r="Z33" s="2" t="n">
        <v>600</v>
      </c>
      <c r="AA33" s="2" t="n">
        <v>600</v>
      </c>
      <c r="AB33" s="2" t="n">
        <v>600</v>
      </c>
      <c r="AC33" s="2" t="n">
        <v>600</v>
      </c>
      <c r="AD33" s="2" t="n">
        <v>600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W39" s="2" t="n">
        <v>276000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W43" s="2" t="n">
        <v>2681480</v>
      </c>
      <c r="X43" s="2" t="n">
        <v>2376</v>
      </c>
      <c r="Y43" s="2" t="n">
        <v>2376</v>
      </c>
      <c r="Z43" s="2" t="n">
        <v>2376</v>
      </c>
      <c r="AA43" s="2" t="n">
        <v>2376</v>
      </c>
      <c r="AB43" s="2" t="n">
        <v>2376</v>
      </c>
      <c r="AC43" s="2" t="n">
        <v>2376</v>
      </c>
      <c r="AD43" s="2" t="n">
        <v>2376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6450000</v>
      </c>
      <c r="AE45" s="10">
        <f>SUM(C45:AD45)</f>
        <v/>
      </c>
    </row>
    <row r="46">
      <c r="B46" t="inlineStr">
        <is>
          <t>Obligated</t>
        </is>
      </c>
      <c r="W46" s="2" t="n">
        <v>6449999.99</v>
      </c>
      <c r="AE46" s="10">
        <f>SUM(C46:AD46)</f>
        <v/>
      </c>
    </row>
    <row r="47">
      <c r="B47" t="inlineStr">
        <is>
          <t>Expended</t>
        </is>
      </c>
      <c r="X47" s="2" t="n">
        <v>4749428.78</v>
      </c>
      <c r="AB47" s="2" t="n">
        <v>1700571.21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2ADP102</t>
        </is>
      </c>
    </row>
    <row r="4">
      <c r="A4" s="1" t="inlineStr">
        <is>
          <t>ROLLUP #</t>
        </is>
      </c>
      <c r="B4" t="inlineStr">
        <is>
          <t>1102</t>
        </is>
      </c>
    </row>
    <row r="5">
      <c r="A5" s="1" t="inlineStr">
        <is>
          <t>PROJECT NAME</t>
        </is>
      </c>
      <c r="B5" t="inlineStr">
        <is>
          <t>Maturation of Graphene Optoelectronic Coatings</t>
        </is>
      </c>
    </row>
    <row r="6">
      <c r="A6" s="1" t="inlineStr">
        <is>
          <t>TECHNICAL POINT OF CONTACT</t>
        </is>
      </c>
      <c r="B6" t="inlineStr">
        <is>
          <t>Michael E. McConney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FQ</t>
        </is>
      </c>
    </row>
    <row r="11">
      <c r="A11" s="1" t="inlineStr">
        <is>
          <t>AVAILABLE FUNDS</t>
        </is>
      </c>
      <c r="B11" s="2" t="n">
        <v>-155144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1037.29</v>
      </c>
      <c r="Z18" s="2" t="n">
        <v>941.2</v>
      </c>
      <c r="AA18" s="2" t="n">
        <v>32029.9</v>
      </c>
      <c r="AE18" s="10">
        <f>SUM(C18:AD18)</f>
        <v/>
      </c>
    </row>
    <row r="19">
      <c r="B19" t="inlineStr">
        <is>
          <t>Fringe 5990</t>
        </is>
      </c>
      <c r="Y19" s="2" t="n">
        <v>521.34</v>
      </c>
      <c r="Z19" s="2" t="n">
        <v>473.04</v>
      </c>
      <c r="AA19" s="2" t="n">
        <v>17337.79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59068.34</v>
      </c>
      <c r="AA21" s="2" t="n">
        <v>141698.77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108.74</v>
      </c>
      <c r="AA25" s="2" t="n">
        <v>95.34</v>
      </c>
      <c r="AE25" s="10">
        <f>SUM(C25:AD25)</f>
        <v/>
      </c>
    </row>
    <row r="26">
      <c r="B26" t="inlineStr">
        <is>
          <t>Material 5003</t>
        </is>
      </c>
      <c r="Z26" s="2" t="n">
        <v>304.34</v>
      </c>
      <c r="AA26" s="2" t="n">
        <v>610.26</v>
      </c>
      <c r="AE26" s="10">
        <f>SUM(C26:AD26)</f>
        <v/>
      </c>
    </row>
    <row r="27">
      <c r="B27" t="inlineStr">
        <is>
          <t>Sub K Overhead 5992</t>
        </is>
      </c>
      <c r="Z27" s="2" t="n">
        <v>1730.7</v>
      </c>
      <c r="AA27" s="2" t="n">
        <v>4293.47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2069.71</v>
      </c>
      <c r="Z29" s="2" t="n">
        <v>2426.5</v>
      </c>
      <c r="AA29" s="2" t="n">
        <v>68229.86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263.16</v>
      </c>
      <c r="Y32" s="2" t="n">
        <v>789.48</v>
      </c>
      <c r="Z32" s="2" t="n">
        <v>789.48</v>
      </c>
      <c r="AA32" s="2" t="n">
        <v>789.48</v>
      </c>
      <c r="AB32" s="2" t="n">
        <v>789.48</v>
      </c>
      <c r="AC32" s="2" t="n">
        <v>789.48</v>
      </c>
      <c r="AD32" s="2" t="n">
        <v>789.48</v>
      </c>
      <c r="AE32" s="10">
        <f>SUM(C32:AD32)</f>
        <v/>
      </c>
    </row>
    <row r="33">
      <c r="B33" t="inlineStr">
        <is>
          <t>Fringe 5990</t>
        </is>
      </c>
      <c r="X33" s="2" t="n">
        <v>132.26</v>
      </c>
      <c r="Y33" s="2" t="n">
        <v>396.78</v>
      </c>
      <c r="Z33" s="2" t="n">
        <v>396.78</v>
      </c>
      <c r="AA33" s="2" t="n">
        <v>396.78</v>
      </c>
      <c r="AB33" s="2" t="n">
        <v>396.78</v>
      </c>
      <c r="AC33" s="2" t="n">
        <v>396.78</v>
      </c>
      <c r="AD33" s="2" t="n">
        <v>396.78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91738</v>
      </c>
      <c r="Z35" s="2" t="n">
        <v>275214</v>
      </c>
      <c r="AA35" s="2" t="n">
        <v>275214</v>
      </c>
      <c r="AB35" s="2" t="n">
        <v>275214</v>
      </c>
      <c r="AC35" s="2" t="n">
        <v>275214</v>
      </c>
      <c r="AD35" s="2" t="n">
        <v>275214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2688</v>
      </c>
      <c r="Z41" s="2" t="n">
        <v>8064</v>
      </c>
      <c r="AA41" s="2" t="n">
        <v>8064</v>
      </c>
      <c r="AB41" s="2" t="n">
        <v>8064</v>
      </c>
      <c r="AC41" s="2" t="n">
        <v>8064</v>
      </c>
      <c r="AD41" s="2" t="n">
        <v>8064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525.08</v>
      </c>
      <c r="Y43" s="2" t="n">
        <v>1575.24</v>
      </c>
      <c r="Z43" s="2" t="n">
        <v>1575.24</v>
      </c>
      <c r="AA43" s="2" t="n">
        <v>1575.24</v>
      </c>
      <c r="AB43" s="2" t="n">
        <v>1575.24</v>
      </c>
      <c r="AC43" s="2" t="n">
        <v>1575.24</v>
      </c>
      <c r="AD43" s="2" t="n">
        <v>1575.73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2250000</v>
      </c>
      <c r="AE45" s="10">
        <f>SUM(C45:AD45)</f>
        <v/>
      </c>
    </row>
    <row r="46">
      <c r="B46" t="inlineStr">
        <is>
          <t>Obligated</t>
        </is>
      </c>
      <c r="X46" s="2" t="n">
        <v>2250000</v>
      </c>
      <c r="AE46" s="10">
        <f>SUM(C46:AD46)</f>
        <v/>
      </c>
    </row>
    <row r="47">
      <c r="B47" t="inlineStr">
        <is>
          <t>Expended</t>
        </is>
      </c>
      <c r="Y47" s="2" t="n">
        <v>600000</v>
      </c>
      <c r="AA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2ADP103</t>
        </is>
      </c>
    </row>
    <row r="4">
      <c r="A4" s="1" t="inlineStr">
        <is>
          <t>ROLLUP #</t>
        </is>
      </c>
      <c r="B4" t="inlineStr">
        <is>
          <t>1103</t>
        </is>
      </c>
    </row>
    <row r="5">
      <c r="A5" s="1" t="inlineStr">
        <is>
          <t>PROJECT NAME</t>
        </is>
      </c>
      <c r="B5" t="inlineStr">
        <is>
          <t>Printed Electronics For Weapons &amp; Armament Components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FG</t>
        </is>
      </c>
    </row>
    <row r="11">
      <c r="A11" s="1" t="inlineStr">
        <is>
          <t>AVAILABLE FUNDS</t>
        </is>
      </c>
      <c r="B11" s="2" t="n">
        <v>154183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948.35</v>
      </c>
      <c r="Y18" s="2" t="n">
        <v>1317.58</v>
      </c>
      <c r="Z18" s="2" t="n">
        <v>429.87</v>
      </c>
      <c r="AE18" s="10">
        <f>SUM(C18:AD18)</f>
        <v/>
      </c>
    </row>
    <row r="19">
      <c r="B19" t="inlineStr">
        <is>
          <t>Fringe 5990</t>
        </is>
      </c>
      <c r="X19" s="2" t="n">
        <v>476.64</v>
      </c>
      <c r="Y19" s="2" t="n">
        <v>662.22</v>
      </c>
      <c r="Z19" s="2" t="n">
        <v>216.05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860214.5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25204.28</v>
      </c>
      <c r="AA27" s="2" t="n">
        <v>860.22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1892.24</v>
      </c>
      <c r="Y29" s="2" t="n">
        <v>2628.98</v>
      </c>
      <c r="Z29" s="2" t="n">
        <v>857.72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3663</v>
      </c>
      <c r="Y32" s="2" t="n">
        <v>3663</v>
      </c>
      <c r="Z32" s="2" t="n">
        <v>3663</v>
      </c>
      <c r="AA32" s="2" t="n">
        <v>3663</v>
      </c>
      <c r="AB32" s="2" t="n">
        <v>3663</v>
      </c>
      <c r="AC32" s="2" t="n">
        <v>3663</v>
      </c>
      <c r="AD32" s="2" t="n">
        <v>3663</v>
      </c>
      <c r="AE32" s="10">
        <f>SUM(C32:AD32)</f>
        <v/>
      </c>
    </row>
    <row r="33">
      <c r="B33" t="inlineStr">
        <is>
          <t>Fringe 5990</t>
        </is>
      </c>
      <c r="X33" s="2" t="n">
        <v>1842</v>
      </c>
      <c r="Y33" s="2" t="n">
        <v>1842</v>
      </c>
      <c r="Z33" s="2" t="n">
        <v>1842</v>
      </c>
      <c r="AA33" s="2" t="n">
        <v>1842</v>
      </c>
      <c r="AB33" s="2" t="n">
        <v>1842</v>
      </c>
      <c r="AC33" s="2" t="n">
        <v>1842</v>
      </c>
      <c r="AD33" s="2" t="n">
        <v>1842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315045</v>
      </c>
      <c r="Y35" s="2" t="n">
        <v>315045</v>
      </c>
      <c r="Z35" s="2" t="n">
        <v>315045</v>
      </c>
      <c r="AA35" s="2" t="n">
        <v>210028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9231</v>
      </c>
      <c r="Y41" s="2" t="n">
        <v>9231</v>
      </c>
      <c r="Z41" s="2" t="n">
        <v>9231</v>
      </c>
      <c r="AA41" s="2" t="n">
        <v>6153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7311</v>
      </c>
      <c r="Y43" s="2" t="n">
        <v>7311</v>
      </c>
      <c r="Z43" s="2" t="n">
        <v>7311</v>
      </c>
      <c r="AA43" s="2" t="n">
        <v>7311</v>
      </c>
      <c r="AB43" s="2" t="n">
        <v>7311</v>
      </c>
      <c r="AC43" s="2" t="n">
        <v>7311</v>
      </c>
      <c r="AD43" s="2" t="n">
        <v>7311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1450000</v>
      </c>
      <c r="AE45" s="10">
        <f>SUM(C45:AD45)</f>
        <v/>
      </c>
    </row>
    <row r="46">
      <c r="B46" t="inlineStr">
        <is>
          <t>Obligated</t>
        </is>
      </c>
      <c r="W46" s="2" t="n">
        <v>1450000</v>
      </c>
      <c r="AE46" s="10">
        <f>SUM(C46:AD46)</f>
        <v/>
      </c>
    </row>
    <row r="47">
      <c r="B47" t="inlineStr">
        <is>
          <t>Expended</t>
        </is>
      </c>
      <c r="X47" s="2" t="n">
        <v>20000</v>
      </c>
      <c r="Y47" s="2" t="n">
        <v>500000</v>
      </c>
      <c r="Z47" s="2" t="n">
        <v>930000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2ADP104</t>
        </is>
      </c>
    </row>
    <row r="4">
      <c r="A4" s="1" t="inlineStr">
        <is>
          <t>ROLLUP #</t>
        </is>
      </c>
      <c r="B4" t="inlineStr">
        <is>
          <t>1104</t>
        </is>
      </c>
    </row>
    <row r="5">
      <c r="A5" s="1" t="inlineStr">
        <is>
          <t>PROJECT NAME</t>
        </is>
      </c>
      <c r="B5" t="inlineStr">
        <is>
          <t>Combat Regeneration for Operational Sustainment &amp; Support of Forces in Intense Training (CROSSFIT)</t>
        </is>
      </c>
    </row>
    <row r="6">
      <c r="A6" s="1" t="inlineStr">
        <is>
          <t>TECHNICAL POINT OF CONTACT</t>
        </is>
      </c>
      <c r="B6" t="inlineStr">
        <is>
          <t>Jason Foley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FN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830.77</v>
      </c>
      <c r="Y18" s="2" t="n">
        <v>690.38</v>
      </c>
      <c r="Z18" s="2" t="n">
        <v>-1257.76</v>
      </c>
      <c r="AA18" s="2" t="n">
        <v>2737.19</v>
      </c>
      <c r="AE18" s="10">
        <f>SUM(C18:AD18)</f>
        <v/>
      </c>
    </row>
    <row r="19">
      <c r="B19" t="inlineStr">
        <is>
          <t>Fringe 5990</t>
        </is>
      </c>
      <c r="X19" s="2" t="n">
        <v>417.55</v>
      </c>
      <c r="Y19" s="2" t="n">
        <v>346.99</v>
      </c>
      <c r="Z19" s="2" t="n">
        <v>-632.15</v>
      </c>
      <c r="AA19" s="2" t="n">
        <v>1481.64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39466.55</v>
      </c>
      <c r="Z21" s="2" t="n">
        <v>85950.94</v>
      </c>
      <c r="AB21" s="2" t="n">
        <v>9582.51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1156.37</v>
      </c>
      <c r="Z27" s="2" t="n">
        <v>2518.36</v>
      </c>
      <c r="AB27" s="2" t="n">
        <v>290.35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1657.64</v>
      </c>
      <c r="Y29" s="2" t="n">
        <v>1377.52</v>
      </c>
      <c r="Z29" s="2" t="n">
        <v>-2509.61</v>
      </c>
      <c r="AA29" s="2" t="n">
        <v>5748.58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572</v>
      </c>
      <c r="Y32" s="2" t="n">
        <v>858</v>
      </c>
      <c r="Z32" s="2" t="n">
        <v>858</v>
      </c>
      <c r="AA32" s="2" t="n">
        <v>867</v>
      </c>
      <c r="AE32" s="10">
        <f>SUM(C32:AD32)</f>
        <v/>
      </c>
    </row>
    <row r="33">
      <c r="B33" t="inlineStr">
        <is>
          <t>Fringe 5990</t>
        </is>
      </c>
      <c r="X33" s="2" t="n">
        <v>290</v>
      </c>
      <c r="Y33" s="2" t="n">
        <v>435</v>
      </c>
      <c r="Z33" s="2" t="n">
        <v>435</v>
      </c>
      <c r="AA33" s="2" t="n">
        <v>426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27000</v>
      </c>
      <c r="Y35" s="2" t="n">
        <v>40500</v>
      </c>
      <c r="Z35" s="2" t="n">
        <v>40500</v>
      </c>
      <c r="AA35" s="2" t="n">
        <v>27000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792</v>
      </c>
      <c r="Y41" s="2" t="n">
        <v>1188</v>
      </c>
      <c r="Z41" s="2" t="n">
        <v>1188</v>
      </c>
      <c r="AA41" s="2" t="n">
        <v>787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1146</v>
      </c>
      <c r="Y43" s="2" t="n">
        <v>1719</v>
      </c>
      <c r="Z43" s="2" t="n">
        <v>1719</v>
      </c>
      <c r="AA43" s="2" t="n">
        <v>1720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150000</v>
      </c>
      <c r="AE45" s="10">
        <f>SUM(C45:AD45)</f>
        <v/>
      </c>
    </row>
    <row r="46">
      <c r="B46" t="inlineStr">
        <is>
          <t>Obligated</t>
        </is>
      </c>
      <c r="X46" s="2" t="n">
        <v>150000</v>
      </c>
      <c r="AE46" s="10">
        <f>SUM(C46:AD46)</f>
        <v/>
      </c>
    </row>
    <row r="47">
      <c r="B47" t="inlineStr">
        <is>
          <t>Expended</t>
        </is>
      </c>
      <c r="X47" s="2" t="n">
        <v>150000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2ADP106</t>
        </is>
      </c>
    </row>
    <row r="4">
      <c r="A4" s="1" t="inlineStr">
        <is>
          <t>ROLLUP #</t>
        </is>
      </c>
      <c r="B4" t="inlineStr">
        <is>
          <t>1106</t>
        </is>
      </c>
    </row>
    <row r="5">
      <c r="A5" s="1" t="inlineStr">
        <is>
          <t>PROJECT NAME</t>
        </is>
      </c>
      <c r="B5" t="inlineStr">
        <is>
          <t>Mixed-Dimensional Quantum Materials for Vertical and Lateral Heterostructures Based Devices</t>
        </is>
      </c>
    </row>
    <row r="6">
      <c r="A6" s="1" t="inlineStr">
        <is>
          <t>TECHNICAL POINT OF CONTACT</t>
        </is>
      </c>
      <c r="B6" t="inlineStr">
        <is>
          <t>Dr. Arnold Kiefer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857.42</v>
      </c>
      <c r="Y18" s="2" t="n">
        <v>1538.12</v>
      </c>
      <c r="Z18" s="2" t="n">
        <v>63986.41</v>
      </c>
      <c r="AA18" s="2" t="n">
        <v>21088.01</v>
      </c>
      <c r="AB18" s="2" t="n">
        <v>477.13</v>
      </c>
      <c r="AE18" s="10">
        <f>SUM(C18:AD18)</f>
        <v/>
      </c>
    </row>
    <row r="19">
      <c r="B19" t="inlineStr">
        <is>
          <t>Fringe 5990</t>
        </is>
      </c>
      <c r="X19" s="2" t="n">
        <v>430.94</v>
      </c>
      <c r="Y19" s="2" t="n">
        <v>773.0599999999999</v>
      </c>
      <c r="Z19" s="2" t="n">
        <v>32159.57</v>
      </c>
      <c r="AA19" s="2" t="n">
        <v>11414.94</v>
      </c>
      <c r="AB19" s="2" t="n">
        <v>258.27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1316899.1</v>
      </c>
      <c r="AB21" s="2" t="n">
        <v>1019481.58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2400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1186.95</v>
      </c>
      <c r="AA25" s="2" t="n">
        <v>145.97</v>
      </c>
      <c r="AE25" s="10">
        <f>SUM(C25:AD25)</f>
        <v/>
      </c>
    </row>
    <row r="26">
      <c r="B26" t="inlineStr">
        <is>
          <t>Material 5003</t>
        </is>
      </c>
      <c r="Z26" s="2" t="n">
        <v>10411.53</v>
      </c>
      <c r="AA26" s="2" t="n">
        <v>2254.34</v>
      </c>
      <c r="AE26" s="10">
        <f>SUM(C26:AD26)</f>
        <v/>
      </c>
    </row>
    <row r="27">
      <c r="B27" t="inlineStr">
        <is>
          <t>Sub K Overhead 5992</t>
        </is>
      </c>
      <c r="Z27" s="2" t="n">
        <v>38585.15</v>
      </c>
      <c r="AB27" s="2" t="n">
        <v>33473.55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1710.81</v>
      </c>
      <c r="Y29" s="2" t="n">
        <v>3069.01</v>
      </c>
      <c r="Z29" s="2" t="n">
        <v>143073.86</v>
      </c>
      <c r="AA29" s="2" t="n">
        <v>47559.18</v>
      </c>
      <c r="AB29" s="2" t="n">
        <v>1002.06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8419.98</v>
      </c>
      <c r="Y32" s="2" t="n">
        <v>12629.97</v>
      </c>
      <c r="Z32" s="2" t="n">
        <v>12629.97</v>
      </c>
      <c r="AA32" s="2" t="n">
        <v>12629.97</v>
      </c>
      <c r="AB32" s="2" t="n">
        <v>12629.97</v>
      </c>
      <c r="AC32" s="2" t="n">
        <v>12629.97</v>
      </c>
      <c r="AD32" s="2" t="n">
        <v>12629.97</v>
      </c>
      <c r="AE32" s="10">
        <f>SUM(C32:AD32)</f>
        <v/>
      </c>
    </row>
    <row r="33">
      <c r="B33" t="inlineStr">
        <is>
          <t>Fringe 5990</t>
        </is>
      </c>
      <c r="X33" s="2" t="n">
        <v>4231.92</v>
      </c>
      <c r="Y33" s="2" t="n">
        <v>6347.88</v>
      </c>
      <c r="Z33" s="2" t="n">
        <v>6347.88</v>
      </c>
      <c r="AA33" s="2" t="n">
        <v>6347.88</v>
      </c>
      <c r="AB33" s="2" t="n">
        <v>6347.88</v>
      </c>
      <c r="AC33" s="2" t="n">
        <v>6347.88</v>
      </c>
      <c r="AD33" s="2" t="n">
        <v>6347.88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308572</v>
      </c>
      <c r="Y35" s="2" t="n">
        <v>462858</v>
      </c>
      <c r="Z35" s="2" t="n">
        <v>462858</v>
      </c>
      <c r="AA35" s="2" t="n">
        <v>462858</v>
      </c>
      <c r="AB35" s="2" t="n">
        <v>462858</v>
      </c>
      <c r="AC35" s="2" t="n">
        <v>462858</v>
      </c>
      <c r="AD35" s="2" t="n">
        <v>462858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9042</v>
      </c>
      <c r="Y41" s="2" t="n">
        <v>13563</v>
      </c>
      <c r="Z41" s="2" t="n">
        <v>13563</v>
      </c>
      <c r="AA41" s="2" t="n">
        <v>13563</v>
      </c>
      <c r="AB41" s="2" t="n">
        <v>13563</v>
      </c>
      <c r="AC41" s="2" t="n">
        <v>13563</v>
      </c>
      <c r="AD41" s="2" t="n">
        <v>13563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16800.14</v>
      </c>
      <c r="Y43" s="2" t="n">
        <v>25200.21</v>
      </c>
      <c r="Z43" s="2" t="n">
        <v>25200.21</v>
      </c>
      <c r="AA43" s="2" t="n">
        <v>25200.21</v>
      </c>
      <c r="AB43" s="2" t="n">
        <v>25200.21</v>
      </c>
      <c r="AC43" s="2" t="n">
        <v>25200.25</v>
      </c>
      <c r="AD43" s="2" t="n">
        <v>25200.33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4800000</v>
      </c>
      <c r="AE45" s="10">
        <f>SUM(C45:AD45)</f>
        <v/>
      </c>
    </row>
    <row r="46">
      <c r="B46" t="inlineStr">
        <is>
          <t>Obligated</t>
        </is>
      </c>
      <c r="X46" s="2" t="n">
        <v>4800000</v>
      </c>
      <c r="AE46" s="10">
        <f>SUM(C46:AD46)</f>
        <v/>
      </c>
    </row>
    <row r="47">
      <c r="B47" t="inlineStr">
        <is>
          <t>Expended</t>
        </is>
      </c>
      <c r="X47" s="2" t="n">
        <v>3800000</v>
      </c>
      <c r="AA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2ADP107</t>
        </is>
      </c>
    </row>
    <row r="4">
      <c r="A4" s="1" t="inlineStr">
        <is>
          <t>ROLLUP #</t>
        </is>
      </c>
      <c r="B4" t="inlineStr">
        <is>
          <t>1107</t>
        </is>
      </c>
    </row>
    <row r="5">
      <c r="A5" s="1" t="inlineStr">
        <is>
          <t>PROJECT NAME</t>
        </is>
      </c>
      <c r="B5" t="inlineStr">
        <is>
          <t>Innovation Services FY25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1512.75</v>
      </c>
      <c r="Y18" s="2" t="n">
        <v>577.1</v>
      </c>
      <c r="Z18" s="2" t="n">
        <v>84.33</v>
      </c>
      <c r="AE18" s="10">
        <f>SUM(C18:AD18)</f>
        <v/>
      </c>
    </row>
    <row r="19">
      <c r="B19" t="inlineStr">
        <is>
          <t>Fringe 5990</t>
        </is>
      </c>
      <c r="X19" s="2" t="n">
        <v>760.3</v>
      </c>
      <c r="Y19" s="2" t="n">
        <v>290.05</v>
      </c>
      <c r="Z19" s="2" t="n">
        <v>42.38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X21" s="2" t="n">
        <v>73086.66</v>
      </c>
      <c r="Y21" s="2" t="n">
        <v>76913.34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X27" s="2" t="n">
        <v>2141.44</v>
      </c>
      <c r="Y27" s="2" t="n">
        <v>2253.56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3018.37</v>
      </c>
      <c r="Y29" s="2" t="n">
        <v>1151.49</v>
      </c>
      <c r="Z29" s="2" t="n">
        <v>168.26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1305</v>
      </c>
      <c r="Y32" s="2" t="n">
        <v>870</v>
      </c>
      <c r="AE32" s="10">
        <f>SUM(C32:AD32)</f>
        <v/>
      </c>
    </row>
    <row r="33">
      <c r="B33" t="inlineStr">
        <is>
          <t>Fringe 5990</t>
        </is>
      </c>
      <c r="X33" s="2" t="n">
        <v>657</v>
      </c>
      <c r="Y33" s="2" t="n">
        <v>436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100000</v>
      </c>
      <c r="Y35" s="2" t="n">
        <v>50000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2930</v>
      </c>
      <c r="Y41" s="2" t="n">
        <v>1465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2604</v>
      </c>
      <c r="Y43" s="2" t="n">
        <v>1733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162000</v>
      </c>
      <c r="AE45" s="10">
        <f>SUM(C45:AD45)</f>
        <v/>
      </c>
    </row>
    <row r="46">
      <c r="B46" t="inlineStr">
        <is>
          <t>Obligated</t>
        </is>
      </c>
      <c r="X46" s="2" t="n">
        <v>162000</v>
      </c>
      <c r="AE46" s="10">
        <f>SUM(C46:AD46)</f>
        <v/>
      </c>
    </row>
    <row r="47">
      <c r="B47" t="inlineStr">
        <is>
          <t>Expended</t>
        </is>
      </c>
      <c r="X47" s="2" t="n">
        <v>162000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2ADP109</t>
        </is>
      </c>
    </row>
    <row r="4">
      <c r="A4" s="1" t="inlineStr">
        <is>
          <t>ROLLUP #</t>
        </is>
      </c>
      <c r="B4" t="inlineStr">
        <is>
          <t>1109</t>
        </is>
      </c>
    </row>
    <row r="5">
      <c r="A5" s="1" t="inlineStr">
        <is>
          <t>PROJECT NAME</t>
        </is>
      </c>
      <c r="B5" t="inlineStr">
        <is>
          <t>Resilient Electronics for Demanding Environments RED-E Phase 2</t>
        </is>
      </c>
    </row>
    <row r="6">
      <c r="A6" s="1" t="inlineStr">
        <is>
          <t>TECHNICAL POINT OF CONTACT</t>
        </is>
      </c>
      <c r="B6" t="inlineStr">
        <is>
          <t>Giorgio Bazzan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934.66</v>
      </c>
      <c r="Y18" s="2" t="n">
        <v>3217.6</v>
      </c>
      <c r="Z18" s="2" t="n">
        <v>2505.89</v>
      </c>
      <c r="AE18" s="10">
        <f>SUM(C18:AD18)</f>
        <v/>
      </c>
    </row>
    <row r="19">
      <c r="B19" t="inlineStr">
        <is>
          <t>Fringe 5990</t>
        </is>
      </c>
      <c r="X19" s="2" t="n">
        <v>469.76</v>
      </c>
      <c r="Y19" s="2" t="n">
        <v>1617.16</v>
      </c>
      <c r="Z19" s="2" t="n">
        <v>1259.46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207387.01</v>
      </c>
      <c r="AA21" s="2" t="n">
        <v>98108.73</v>
      </c>
      <c r="AB21" s="2" t="n">
        <v>9377.1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23.04</v>
      </c>
      <c r="Z25" s="2" t="n">
        <v>30.86</v>
      </c>
      <c r="AA25" s="2" t="n">
        <v>39.79</v>
      </c>
      <c r="AE25" s="10">
        <f>SUM(C25:AD25)</f>
        <v/>
      </c>
    </row>
    <row r="26">
      <c r="B26" t="inlineStr">
        <is>
          <t>Material 5003</t>
        </is>
      </c>
      <c r="Y26" s="2" t="n">
        <v>695.77</v>
      </c>
      <c r="Z26" s="2" t="n">
        <v>275.48</v>
      </c>
      <c r="AE26" s="10">
        <f>SUM(C26:AD26)</f>
        <v/>
      </c>
    </row>
    <row r="27">
      <c r="B27" t="inlineStr">
        <is>
          <t>Sub K Overhead 5992</t>
        </is>
      </c>
      <c r="Z27" s="2" t="n">
        <v>6076.44</v>
      </c>
      <c r="AA27" s="2" t="n">
        <v>2972.69</v>
      </c>
      <c r="AB27" s="2" t="n">
        <v>284.13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1864.93</v>
      </c>
      <c r="Y29" s="2" t="n">
        <v>7374.59</v>
      </c>
      <c r="Z29" s="2" t="n">
        <v>5406.8</v>
      </c>
      <c r="AA29" s="2" t="n">
        <v>54.22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1698</v>
      </c>
      <c r="Y32" s="2" t="n">
        <v>1698</v>
      </c>
      <c r="Z32" s="2" t="n">
        <v>1698</v>
      </c>
      <c r="AA32" s="2" t="n">
        <v>1698</v>
      </c>
      <c r="AB32" s="2" t="n">
        <v>574</v>
      </c>
      <c r="AE32" s="10">
        <f>SUM(C32:AD32)</f>
        <v/>
      </c>
    </row>
    <row r="33">
      <c r="B33" t="inlineStr">
        <is>
          <t>Fringe 5990</t>
        </is>
      </c>
      <c r="X33" s="2" t="n">
        <v>855</v>
      </c>
      <c r="Y33" s="2" t="n">
        <v>855</v>
      </c>
      <c r="Z33" s="2" t="n">
        <v>855</v>
      </c>
      <c r="AA33" s="2" t="n">
        <v>855</v>
      </c>
      <c r="AB33" s="2" t="n">
        <v>282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52500</v>
      </c>
      <c r="Y35" s="2" t="n">
        <v>78750</v>
      </c>
      <c r="Z35" s="2" t="n">
        <v>78750</v>
      </c>
      <c r="AA35" s="2" t="n">
        <v>78750</v>
      </c>
      <c r="AB35" s="2" t="n">
        <v>26250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1538</v>
      </c>
      <c r="Y41" s="2" t="n">
        <v>2307</v>
      </c>
      <c r="Z41" s="2" t="n">
        <v>2307</v>
      </c>
      <c r="AA41" s="2" t="n">
        <v>2307</v>
      </c>
      <c r="AB41" s="2" t="n">
        <v>771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3390</v>
      </c>
      <c r="Y43" s="2" t="n">
        <v>3390</v>
      </c>
      <c r="Z43" s="2" t="n">
        <v>3390</v>
      </c>
      <c r="AA43" s="2" t="n">
        <v>3390</v>
      </c>
      <c r="AB43" s="2" t="n">
        <v>1142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350000</v>
      </c>
      <c r="AE45" s="10">
        <f>SUM(C45:AD45)</f>
        <v/>
      </c>
    </row>
    <row r="46">
      <c r="B46" t="inlineStr">
        <is>
          <t>Obligated</t>
        </is>
      </c>
      <c r="X46" s="2" t="n">
        <v>350000</v>
      </c>
      <c r="AE46" s="10">
        <f>SUM(C46:AD46)</f>
        <v/>
      </c>
    </row>
    <row r="47">
      <c r="B47" t="inlineStr">
        <is>
          <t>Expended</t>
        </is>
      </c>
      <c r="X47" s="2" t="n">
        <v>175000</v>
      </c>
      <c r="Z47" s="2" t="n">
        <v>175000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2ADP110</t>
        </is>
      </c>
    </row>
    <row r="4">
      <c r="A4" s="1" t="inlineStr">
        <is>
          <t>ROLLUP #</t>
        </is>
      </c>
      <c r="B4" t="inlineStr">
        <is>
          <t>1110</t>
        </is>
      </c>
    </row>
    <row r="5">
      <c r="A5" s="1" t="inlineStr">
        <is>
          <t>PROJECT NAME</t>
        </is>
      </c>
      <c r="B5" t="inlineStr">
        <is>
          <t>Intellectual Property Education Partnership</t>
        </is>
      </c>
    </row>
    <row r="6">
      <c r="A6" s="1" t="inlineStr">
        <is>
          <t>TECHNICAL POINT OF CONTACT</t>
        </is>
      </c>
      <c r="B6" t="inlineStr">
        <is>
          <t>Deborah Davis-Brutchen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FH, FJ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1900.44</v>
      </c>
      <c r="Y18" s="2" t="n">
        <v>1732.14</v>
      </c>
      <c r="Z18" s="2" t="n">
        <v>1247.99</v>
      </c>
      <c r="AE18" s="10">
        <f>SUM(C18:AD18)</f>
        <v/>
      </c>
    </row>
    <row r="19">
      <c r="B19" t="inlineStr">
        <is>
          <t>Fringe 5990</t>
        </is>
      </c>
      <c r="X19" s="2" t="n">
        <v>955.16</v>
      </c>
      <c r="Y19" s="2" t="n">
        <v>870.58</v>
      </c>
      <c r="Z19" s="2" t="n">
        <v>627.25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3791.95</v>
      </c>
      <c r="Y29" s="2" t="n">
        <v>3456.15</v>
      </c>
      <c r="Z29" s="2" t="n">
        <v>2490.12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1215</v>
      </c>
      <c r="Y32" s="2" t="n">
        <v>1215</v>
      </c>
      <c r="Z32" s="2" t="n">
        <v>1215</v>
      </c>
      <c r="AA32" s="2" t="n">
        <v>1215</v>
      </c>
      <c r="AB32" s="2" t="n">
        <v>401</v>
      </c>
      <c r="AE32" s="10">
        <f>SUM(C32:AD32)</f>
        <v/>
      </c>
    </row>
    <row r="33">
      <c r="B33" t="inlineStr">
        <is>
          <t>Fringe 5990</t>
        </is>
      </c>
      <c r="X33" s="2" t="n">
        <v>609</v>
      </c>
      <c r="Y33" s="2" t="n">
        <v>609</v>
      </c>
      <c r="Z33" s="2" t="n">
        <v>609</v>
      </c>
      <c r="AA33" s="2" t="n">
        <v>609</v>
      </c>
      <c r="AB33" s="2" t="n">
        <v>208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45000</v>
      </c>
      <c r="Y35" s="2" t="n">
        <v>67500</v>
      </c>
      <c r="Z35" s="2" t="n">
        <v>67500</v>
      </c>
      <c r="AA35" s="2" t="n">
        <v>45000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1318</v>
      </c>
      <c r="Y41" s="2" t="n">
        <v>1977</v>
      </c>
      <c r="Z41" s="2" t="n">
        <v>1977</v>
      </c>
      <c r="AA41" s="2" t="n">
        <v>1320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2424</v>
      </c>
      <c r="Y43" s="2" t="n">
        <v>2424</v>
      </c>
      <c r="Z43" s="2" t="n">
        <v>2424</v>
      </c>
      <c r="AA43" s="2" t="n">
        <v>2424</v>
      </c>
      <c r="AB43" s="2" t="n">
        <v>807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250000</v>
      </c>
      <c r="AE45" s="10">
        <f>SUM(C45:AD45)</f>
        <v/>
      </c>
    </row>
    <row r="46">
      <c r="B46" t="inlineStr">
        <is>
          <t>Obligated</t>
        </is>
      </c>
      <c r="X46" s="2" t="n">
        <v>250000</v>
      </c>
      <c r="AE46" s="10">
        <f>SUM(C46:AD46)</f>
        <v/>
      </c>
    </row>
    <row r="47">
      <c r="B47" t="inlineStr">
        <is>
          <t>Expended</t>
        </is>
      </c>
      <c r="X47" s="2" t="n">
        <v>156250</v>
      </c>
      <c r="Z47" s="2" t="n">
        <v>93750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2ADP112</t>
        </is>
      </c>
    </row>
    <row r="4">
      <c r="A4" s="1" t="inlineStr">
        <is>
          <t>ROLLUP #</t>
        </is>
      </c>
      <c r="B4" t="inlineStr">
        <is>
          <t>1112</t>
        </is>
      </c>
    </row>
    <row r="5">
      <c r="A5" s="1" t="inlineStr">
        <is>
          <t>PROJECT NAME</t>
        </is>
      </c>
      <c r="B5" t="inlineStr">
        <is>
          <t>Compact Wide-band Frequency Agile Microwave Filters for WARCHAMP Phase II</t>
        </is>
      </c>
    </row>
    <row r="6">
      <c r="A6" s="1" t="inlineStr">
        <is>
          <t>TECHNICAL POINT OF CONTACT</t>
        </is>
      </c>
      <c r="B6" t="inlineStr">
        <is>
          <t>Michael R.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FT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30602.93</v>
      </c>
      <c r="Z18" s="2" t="n">
        <v>-5585.08</v>
      </c>
      <c r="AE18" s="10">
        <f>SUM(C18:AD18)</f>
        <v/>
      </c>
    </row>
    <row r="19">
      <c r="B19" t="inlineStr">
        <is>
          <t>Fringe 5990</t>
        </is>
      </c>
      <c r="Y19" s="2" t="n">
        <v>15381.03</v>
      </c>
      <c r="Z19" s="2" t="n">
        <v>-2807.06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97282.16</v>
      </c>
      <c r="AA21" s="2" t="n">
        <v>366637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2850.37</v>
      </c>
      <c r="AA27" s="2" t="n">
        <v>11109.1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61062.1</v>
      </c>
      <c r="Z29" s="2" t="n">
        <v>-11143.92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6168</v>
      </c>
      <c r="Z32" s="2" t="n">
        <v>6168</v>
      </c>
      <c r="AA32" s="2" t="n">
        <v>6168</v>
      </c>
      <c r="AB32" s="2" t="n">
        <v>6168</v>
      </c>
      <c r="AC32" s="2" t="n">
        <v>2056</v>
      </c>
      <c r="AE32" s="10">
        <f>SUM(C32:AD32)</f>
        <v/>
      </c>
    </row>
    <row r="33">
      <c r="B33" t="inlineStr">
        <is>
          <t>Fringe 5990</t>
        </is>
      </c>
      <c r="Y33" s="2" t="n">
        <v>3099</v>
      </c>
      <c r="Z33" s="2" t="n">
        <v>3099</v>
      </c>
      <c r="AA33" s="2" t="n">
        <v>3099</v>
      </c>
      <c r="AB33" s="2" t="n">
        <v>3099</v>
      </c>
      <c r="AC33" s="2" t="n">
        <v>1033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263769.27</v>
      </c>
      <c r="Z35" s="2" t="n">
        <v>263769.27</v>
      </c>
      <c r="AA35" s="2" t="n">
        <v>263769.27</v>
      </c>
      <c r="AB35" s="2" t="n">
        <v>263769.27</v>
      </c>
      <c r="AC35" s="2" t="n">
        <v>87923.09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7728.45</v>
      </c>
      <c r="Z41" s="2" t="n">
        <v>7728.45</v>
      </c>
      <c r="AA41" s="2" t="n">
        <v>7728.45</v>
      </c>
      <c r="AB41" s="2" t="n">
        <v>7728.45</v>
      </c>
      <c r="AC41" s="2" t="n">
        <v>2576.03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12309</v>
      </c>
      <c r="Z43" s="2" t="n">
        <v>12309</v>
      </c>
      <c r="AA43" s="2" t="n">
        <v>12309</v>
      </c>
      <c r="AB43" s="2" t="n">
        <v>12309</v>
      </c>
      <c r="AC43" s="2" t="n">
        <v>4117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1270000</v>
      </c>
      <c r="AE45" s="10">
        <f>SUM(C45:AD45)</f>
        <v/>
      </c>
    </row>
    <row r="46">
      <c r="B46" t="inlineStr">
        <is>
          <t>Obligated</t>
        </is>
      </c>
      <c r="Y46" s="2" t="n">
        <v>1270000</v>
      </c>
      <c r="AE46" s="10">
        <f>SUM(C46:AD46)</f>
        <v/>
      </c>
    </row>
    <row r="47">
      <c r="B47" t="inlineStr">
        <is>
          <t>Expended</t>
        </is>
      </c>
      <c r="Y47" s="2" t="n">
        <v>470000</v>
      </c>
      <c r="Z47" s="2" t="n">
        <v>400000</v>
      </c>
      <c r="AA47" s="2" t="n">
        <v>150000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2ADP113</t>
        </is>
      </c>
    </row>
    <row r="4">
      <c r="A4" s="1" t="inlineStr">
        <is>
          <t>ROLLUP #</t>
        </is>
      </c>
      <c r="B4" t="inlineStr">
        <is>
          <t>1113</t>
        </is>
      </c>
    </row>
    <row r="5">
      <c r="A5" s="1" t="inlineStr">
        <is>
          <t>PROJECT NAME</t>
        </is>
      </c>
      <c r="B5" t="inlineStr">
        <is>
          <t>Analog Neuromorphic Front-end Preprocessor for WARCHAMP Phase 2</t>
        </is>
      </c>
    </row>
    <row r="6">
      <c r="A6" s="1" t="inlineStr">
        <is>
          <t>TECHNICAL POINT OF CONTACT</t>
        </is>
      </c>
      <c r="B6" t="inlineStr">
        <is>
          <t>Michael R.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672.72</v>
      </c>
      <c r="Z18" s="2" t="n">
        <v>1709.83</v>
      </c>
      <c r="AA18" s="2" t="n">
        <v>1851.82</v>
      </c>
      <c r="AB18" s="2" t="n">
        <v>543.03</v>
      </c>
      <c r="AE18" s="10">
        <f>SUM(C18:AD18)</f>
        <v/>
      </c>
    </row>
    <row r="19">
      <c r="B19" t="inlineStr">
        <is>
          <t>Fringe 5990</t>
        </is>
      </c>
      <c r="Y19" s="2" t="n">
        <v>338.11</v>
      </c>
      <c r="Z19" s="2" t="n">
        <v>859.36</v>
      </c>
      <c r="AA19" s="2" t="n">
        <v>1002.39</v>
      </c>
      <c r="AB19" s="2" t="n">
        <v>293.93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106536.81</v>
      </c>
      <c r="AA21" s="2" t="n">
        <v>77649.97</v>
      </c>
      <c r="AB21" s="2" t="n">
        <v>105714.63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3121.53</v>
      </c>
      <c r="AA27" s="2" t="n">
        <v>2352.79</v>
      </c>
      <c r="AB27" s="2" t="n">
        <v>3203.15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1342.29</v>
      </c>
      <c r="Z29" s="2" t="n">
        <v>3411.63</v>
      </c>
      <c r="AA29" s="2" t="n">
        <v>3889.15</v>
      </c>
      <c r="AB29" s="2" t="n">
        <v>1140.41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2430</v>
      </c>
      <c r="Z32" s="2" t="n">
        <v>2430</v>
      </c>
      <c r="AA32" s="2" t="n">
        <v>2430</v>
      </c>
      <c r="AB32" s="2" t="n">
        <v>2430</v>
      </c>
      <c r="AC32" s="2" t="n">
        <v>805</v>
      </c>
      <c r="AE32" s="10">
        <f>SUM(C32:AD32)</f>
        <v/>
      </c>
    </row>
    <row r="33">
      <c r="B33" t="inlineStr">
        <is>
          <t>Fringe 5990</t>
        </is>
      </c>
      <c r="Y33" s="2" t="n">
        <v>1221</v>
      </c>
      <c r="Z33" s="2" t="n">
        <v>1221</v>
      </c>
      <c r="AA33" s="2" t="n">
        <v>1221</v>
      </c>
      <c r="AB33" s="2" t="n">
        <v>1221</v>
      </c>
      <c r="AC33" s="2" t="n">
        <v>405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75000</v>
      </c>
      <c r="Z35" s="2" t="n">
        <v>112500</v>
      </c>
      <c r="AA35" s="2" t="n">
        <v>112500</v>
      </c>
      <c r="AB35" s="2" t="n">
        <v>112500</v>
      </c>
      <c r="AC35" s="2" t="n">
        <v>37500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2198</v>
      </c>
      <c r="Z41" s="2" t="n">
        <v>3297</v>
      </c>
      <c r="AA41" s="2" t="n">
        <v>3297</v>
      </c>
      <c r="AB41" s="2" t="n">
        <v>3297</v>
      </c>
      <c r="AC41" s="2" t="n">
        <v>1096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4845</v>
      </c>
      <c r="Z43" s="2" t="n">
        <v>4845</v>
      </c>
      <c r="AA43" s="2" t="n">
        <v>4845</v>
      </c>
      <c r="AB43" s="2" t="n">
        <v>4845</v>
      </c>
      <c r="AC43" s="2" t="n">
        <v>1621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500000</v>
      </c>
      <c r="AE45" s="10">
        <f>SUM(C45:AD45)</f>
        <v/>
      </c>
    </row>
    <row r="46">
      <c r="B46" t="inlineStr">
        <is>
          <t>Obligated</t>
        </is>
      </c>
      <c r="Y46" s="2" t="n">
        <v>500000</v>
      </c>
      <c r="AE46" s="10">
        <f>SUM(C46:AD46)</f>
        <v/>
      </c>
    </row>
    <row r="47">
      <c r="B47" t="inlineStr">
        <is>
          <t>Expended</t>
        </is>
      </c>
      <c r="Z47" s="2" t="n">
        <v>250000</v>
      </c>
      <c r="AA47" s="2" t="n">
        <v>150000</v>
      </c>
      <c r="AB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2ADP114</t>
        </is>
      </c>
    </row>
    <row r="4">
      <c r="A4" s="1" t="inlineStr">
        <is>
          <t>ROLLUP #</t>
        </is>
      </c>
      <c r="B4" t="inlineStr">
        <is>
          <t>1114</t>
        </is>
      </c>
    </row>
    <row r="5">
      <c r="A5" s="1" t="inlineStr">
        <is>
          <t>PROJECT NAME</t>
        </is>
      </c>
      <c r="B5" t="inlineStr">
        <is>
          <t>NAVY Launch - Commercial Acceleration of Department of the Navy (DON) SBIR Awardees</t>
        </is>
      </c>
    </row>
    <row r="6">
      <c r="A6" s="1" t="inlineStr">
        <is>
          <t>TECHNICAL POINT OF CONTACT</t>
        </is>
      </c>
      <c r="B6" t="inlineStr">
        <is>
          <t>Brian Shipley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579.01</v>
      </c>
      <c r="Z18" s="2" t="n">
        <v>1837.59</v>
      </c>
      <c r="AA18" s="2" t="n">
        <v>33064</v>
      </c>
      <c r="AB18" s="2" t="n">
        <v>2127.64</v>
      </c>
      <c r="AE18" s="10">
        <f>SUM(C18:AD18)</f>
        <v/>
      </c>
    </row>
    <row r="19">
      <c r="B19" t="inlineStr">
        <is>
          <t>Fringe 5990</t>
        </is>
      </c>
      <c r="Y19" s="2" t="n">
        <v>291.01</v>
      </c>
      <c r="Z19" s="2" t="n">
        <v>923.58</v>
      </c>
      <c r="AA19" s="2" t="n">
        <v>17897.55</v>
      </c>
      <c r="AB19" s="2" t="n">
        <v>696.17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128116.89</v>
      </c>
      <c r="Z21" s="2" t="n">
        <v>1065027.63</v>
      </c>
      <c r="AA21" s="2" t="n">
        <v>579741.8199999999</v>
      </c>
      <c r="AB21" s="2" t="n">
        <v>277113.66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26.64</v>
      </c>
      <c r="AE25" s="10">
        <f>SUM(C25:AD25)</f>
        <v/>
      </c>
    </row>
    <row r="26">
      <c r="B26" t="inlineStr">
        <is>
          <t>Material 5003</t>
        </is>
      </c>
      <c r="AA26" s="2" t="n">
        <v>278.53</v>
      </c>
      <c r="AE26" s="10">
        <f>SUM(C26:AD26)</f>
        <v/>
      </c>
    </row>
    <row r="27">
      <c r="B27" t="inlineStr">
        <is>
          <t>Sub K Overhead 5992</t>
        </is>
      </c>
      <c r="Y27" s="2" t="n">
        <v>3753.82</v>
      </c>
      <c r="Z27" s="2" t="n">
        <v>31205.31</v>
      </c>
      <c r="AA27" s="2" t="n">
        <v>17566.17</v>
      </c>
      <c r="AB27" s="2" t="n">
        <v>8396.540000000001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1155.3</v>
      </c>
      <c r="Z29" s="2" t="n">
        <v>3666.56</v>
      </c>
      <c r="AA29" s="2" t="n">
        <v>69856.03</v>
      </c>
      <c r="AB29" s="2" t="n">
        <v>2701.07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6906</v>
      </c>
      <c r="Z32" s="2" t="n">
        <v>10359</v>
      </c>
      <c r="AA32" s="2" t="n">
        <v>10359</v>
      </c>
      <c r="AB32" s="2" t="n">
        <v>10359</v>
      </c>
      <c r="AC32" s="2" t="n">
        <v>3452</v>
      </c>
      <c r="AE32" s="10">
        <f>SUM(C32:AD32)</f>
        <v/>
      </c>
    </row>
    <row r="33">
      <c r="B33" t="inlineStr">
        <is>
          <t>Fringe 5990</t>
        </is>
      </c>
      <c r="Y33" s="2" t="n">
        <v>3472</v>
      </c>
      <c r="Z33" s="2" t="n">
        <v>5208</v>
      </c>
      <c r="AA33" s="2" t="n">
        <v>5208</v>
      </c>
      <c r="AB33" s="2" t="n">
        <v>5208</v>
      </c>
      <c r="AC33" s="2" t="n">
        <v>1729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341666</v>
      </c>
      <c r="Z35" s="2" t="n">
        <v>512499</v>
      </c>
      <c r="AA35" s="2" t="n">
        <v>512499</v>
      </c>
      <c r="AB35" s="2" t="n">
        <v>512499</v>
      </c>
      <c r="AC35" s="2" t="n">
        <v>170837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10010</v>
      </c>
      <c r="Z41" s="2" t="n">
        <v>15015</v>
      </c>
      <c r="AA41" s="2" t="n">
        <v>15015</v>
      </c>
      <c r="AB41" s="2" t="n">
        <v>15015</v>
      </c>
      <c r="AC41" s="2" t="n">
        <v>5010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13778</v>
      </c>
      <c r="Z43" s="2" t="n">
        <v>20667</v>
      </c>
      <c r="AA43" s="2" t="n">
        <v>20667</v>
      </c>
      <c r="AB43" s="2" t="n">
        <v>20667</v>
      </c>
      <c r="AC43" s="2" t="n">
        <v>6896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2255000</v>
      </c>
      <c r="AE45" s="10">
        <f>SUM(C45:AD45)</f>
        <v/>
      </c>
    </row>
    <row r="46">
      <c r="B46" t="inlineStr">
        <is>
          <t>Obligated</t>
        </is>
      </c>
      <c r="Y46" s="2" t="n">
        <v>2255000</v>
      </c>
      <c r="AE46" s="10">
        <f>SUM(C46:AD46)</f>
        <v/>
      </c>
    </row>
    <row r="47">
      <c r="B47" t="inlineStr">
        <is>
          <t>Expended</t>
        </is>
      </c>
      <c r="Z47" s="2" t="n">
        <v>1200000</v>
      </c>
      <c r="AA47" s="2" t="n">
        <v>500000</v>
      </c>
      <c r="AB47" s="2" t="n">
        <v>555000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2ADP115</t>
        </is>
      </c>
    </row>
    <row r="4">
      <c r="A4" s="1" t="inlineStr">
        <is>
          <t>ROLLUP #</t>
        </is>
      </c>
      <c r="B4" t="inlineStr">
        <is>
          <t>1115</t>
        </is>
      </c>
    </row>
    <row r="5">
      <c r="A5" s="1" t="inlineStr">
        <is>
          <t>PROJECT NAME</t>
        </is>
      </c>
      <c r="B5" t="inlineStr">
        <is>
          <t>Resilient Extreme Environment Materials: Flexible Variable Emissivity Films</t>
        </is>
      </c>
    </row>
    <row r="6">
      <c r="A6" s="1" t="inlineStr">
        <is>
          <t>TECHNICAL POINT OF CONTACT</t>
        </is>
      </c>
      <c r="B6" t="inlineStr">
        <is>
          <t>Larry Drummy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672.72</v>
      </c>
      <c r="Z18" s="2" t="n">
        <v>825.4</v>
      </c>
      <c r="AA18" s="2" t="n">
        <v>1278.64</v>
      </c>
      <c r="AB18" s="2" t="n">
        <v>79.31999999999999</v>
      </c>
      <c r="AE18" s="10">
        <f>SUM(C18:AD18)</f>
        <v/>
      </c>
    </row>
    <row r="19">
      <c r="B19" t="inlineStr">
        <is>
          <t>Fringe 5990</t>
        </is>
      </c>
      <c r="Y19" s="2" t="n">
        <v>338.11</v>
      </c>
      <c r="Z19" s="2" t="n">
        <v>414.85</v>
      </c>
      <c r="AA19" s="2" t="n">
        <v>692.13</v>
      </c>
      <c r="AB19" s="2" t="n">
        <v>42.94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728.6799999999999</v>
      </c>
      <c r="AB21" s="2" t="n">
        <v>10071.72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21.35</v>
      </c>
      <c r="AB27" s="2" t="n">
        <v>283.82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1342.28</v>
      </c>
      <c r="Z29" s="2" t="n">
        <v>1646.93</v>
      </c>
      <c r="AA29" s="2" t="n">
        <v>2685.37</v>
      </c>
      <c r="AB29" s="2" t="n">
        <v>166.6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1005</v>
      </c>
      <c r="Z32" s="2" t="n">
        <v>1005</v>
      </c>
      <c r="AA32" s="2" t="n">
        <v>1005</v>
      </c>
      <c r="AB32" s="2" t="n">
        <v>669</v>
      </c>
      <c r="AE32" s="10">
        <f>SUM(C32:AD32)</f>
        <v/>
      </c>
    </row>
    <row r="33">
      <c r="B33" t="inlineStr">
        <is>
          <t>Fringe 5990</t>
        </is>
      </c>
      <c r="Y33" s="2" t="n">
        <v>504</v>
      </c>
      <c r="Z33" s="2" t="n">
        <v>504</v>
      </c>
      <c r="AA33" s="2" t="n">
        <v>504</v>
      </c>
      <c r="AB33" s="2" t="n">
        <v>340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2004</v>
      </c>
      <c r="Z43" s="2" t="n">
        <v>2004</v>
      </c>
      <c r="AA43" s="2" t="n">
        <v>2004</v>
      </c>
      <c r="AB43" s="2" t="n">
        <v>1338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175000</v>
      </c>
      <c r="AE45" s="10">
        <f>SUM(C45:AD45)</f>
        <v/>
      </c>
    </row>
    <row r="46">
      <c r="B46" t="inlineStr">
        <is>
          <t>Obligated</t>
        </is>
      </c>
      <c r="X46" s="2" t="n">
        <v>175000</v>
      </c>
      <c r="AE46" s="10">
        <f>SUM(C46:AD46)</f>
        <v/>
      </c>
    </row>
    <row r="47">
      <c r="B47" t="inlineStr">
        <is>
          <t>Expended</t>
        </is>
      </c>
      <c r="Y47" s="2" t="n">
        <v>100000</v>
      </c>
      <c r="Z47" s="2" t="n">
        <v>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2ADP116</t>
        </is>
      </c>
    </row>
    <row r="4">
      <c r="A4" s="1" t="inlineStr">
        <is>
          <t>ROLLUP #</t>
        </is>
      </c>
      <c r="B4" t="inlineStr">
        <is>
          <t>1116</t>
        </is>
      </c>
    </row>
    <row r="5">
      <c r="A5" s="1" t="inlineStr">
        <is>
          <t>PROJECT NAME</t>
        </is>
      </c>
      <c r="B5" t="inlineStr">
        <is>
          <t>Heated Handwear for Combat Aircrew Environmental Protection</t>
        </is>
      </c>
    </row>
    <row r="6">
      <c r="A6" s="1" t="inlineStr">
        <is>
          <t>TECHNICAL POINT OF CONTACT</t>
        </is>
      </c>
      <c r="B6" t="inlineStr">
        <is>
          <t>Christopher E Tabor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2376.96</v>
      </c>
      <c r="Z18" s="2" t="n">
        <v>17906.09</v>
      </c>
      <c r="AA18" s="2" t="n">
        <v>9181.469999999999</v>
      </c>
      <c r="AB18" s="2" t="n">
        <v>1798.57</v>
      </c>
      <c r="AE18" s="10">
        <f>SUM(C18:AD18)</f>
        <v/>
      </c>
    </row>
    <row r="19">
      <c r="B19" t="inlineStr">
        <is>
          <t>Fringe 5990</t>
        </is>
      </c>
      <c r="Y19" s="2" t="n">
        <v>1194.66</v>
      </c>
      <c r="Z19" s="2" t="n">
        <v>8999.6</v>
      </c>
      <c r="AA19" s="2" t="n">
        <v>4969.94</v>
      </c>
      <c r="AB19" s="2" t="n">
        <v>1634.68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77739.3</v>
      </c>
      <c r="AA21" s="2" t="n">
        <v>19668.31</v>
      </c>
      <c r="AB21" s="2" t="n">
        <v>15490.15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158.22</v>
      </c>
      <c r="AA25" s="2" t="n">
        <v>803.27</v>
      </c>
      <c r="AE25" s="10">
        <f>SUM(C25:AD25)</f>
        <v/>
      </c>
    </row>
    <row r="26">
      <c r="B26" t="inlineStr">
        <is>
          <t>Material 5003</t>
        </is>
      </c>
      <c r="Z26" s="2" t="n">
        <v>2590.12</v>
      </c>
      <c r="AA26" s="2" t="n">
        <v>12311.25</v>
      </c>
      <c r="AE26" s="10">
        <f>SUM(C26:AD26)</f>
        <v/>
      </c>
    </row>
    <row r="27">
      <c r="B27" t="inlineStr">
        <is>
          <t>Sub K Overhead 5992</t>
        </is>
      </c>
      <c r="Z27" s="2" t="n">
        <v>2277.76</v>
      </c>
      <c r="AA27" s="2" t="n">
        <v>595.95</v>
      </c>
      <c r="AB27" s="2" t="n">
        <v>469.35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4742.75</v>
      </c>
      <c r="Z29" s="2" t="n">
        <v>39377.59</v>
      </c>
      <c r="AA29" s="2" t="n">
        <v>37152.56</v>
      </c>
      <c r="AB29" s="2" t="n">
        <v>6342.34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2862</v>
      </c>
      <c r="Z32" s="2" t="n">
        <v>4293</v>
      </c>
      <c r="AA32" s="2" t="n">
        <v>4293</v>
      </c>
      <c r="AB32" s="2" t="n">
        <v>4293</v>
      </c>
      <c r="AC32" s="2" t="n">
        <v>4293</v>
      </c>
      <c r="AD32" s="2" t="n">
        <v>4287</v>
      </c>
      <c r="AE32" s="10">
        <f>SUM(C32:AD32)</f>
        <v/>
      </c>
    </row>
    <row r="33">
      <c r="B33" t="inlineStr">
        <is>
          <t>Fringe 5990</t>
        </is>
      </c>
      <c r="Y33" s="2" t="n">
        <v>1438</v>
      </c>
      <c r="Z33" s="2" t="n">
        <v>2157</v>
      </c>
      <c r="AA33" s="2" t="n">
        <v>2157</v>
      </c>
      <c r="AB33" s="2" t="n">
        <v>2157</v>
      </c>
      <c r="AC33" s="2" t="n">
        <v>2157</v>
      </c>
      <c r="AD33" s="2" t="n">
        <v>2158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28749</v>
      </c>
      <c r="Z35" s="2" t="n">
        <v>86249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Y40" s="2" t="n">
        <v>2352</v>
      </c>
      <c r="Z40" s="2" t="n">
        <v>3528</v>
      </c>
      <c r="AA40" s="2" t="n">
        <v>3528</v>
      </c>
      <c r="AB40" s="2" t="n">
        <v>3528</v>
      </c>
      <c r="AC40" s="2" t="n">
        <v>3528</v>
      </c>
      <c r="AD40" s="2" t="n">
        <v>3536</v>
      </c>
      <c r="AE40" s="10">
        <f>SUM(C40:AD40)</f>
        <v/>
      </c>
    </row>
    <row r="41">
      <c r="B41" t="inlineStr">
        <is>
          <t>Sub K Overhead 5992</t>
        </is>
      </c>
      <c r="Y41" s="2" t="n">
        <v>843</v>
      </c>
      <c r="Z41" s="2" t="n">
        <v>2529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8832</v>
      </c>
      <c r="Z43" s="2" t="n">
        <v>13248</v>
      </c>
      <c r="AA43" s="2" t="n">
        <v>13248</v>
      </c>
      <c r="AB43" s="2" t="n">
        <v>13248</v>
      </c>
      <c r="AC43" s="2" t="n">
        <v>13248</v>
      </c>
      <c r="AD43" s="2" t="n">
        <v>13261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250000</v>
      </c>
      <c r="AE45" s="10">
        <f>SUM(C45:AD45)</f>
        <v/>
      </c>
    </row>
    <row r="46">
      <c r="B46" t="inlineStr">
        <is>
          <t>Obligated</t>
        </is>
      </c>
      <c r="Y46" s="2" t="n">
        <v>250000</v>
      </c>
      <c r="AE46" s="10">
        <f>SUM(C46:AD46)</f>
        <v/>
      </c>
    </row>
    <row r="47">
      <c r="B47" t="inlineStr">
        <is>
          <t>Expended</t>
        </is>
      </c>
      <c r="Z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2ADP117</t>
        </is>
      </c>
    </row>
    <row r="4">
      <c r="A4" s="1" t="inlineStr">
        <is>
          <t>ROLLUP #</t>
        </is>
      </c>
      <c r="B4" t="inlineStr">
        <is>
          <t>1117</t>
        </is>
      </c>
    </row>
    <row r="5">
      <c r="A5" s="1" t="inlineStr">
        <is>
          <t>PROJECT NAME</t>
        </is>
      </c>
      <c r="B5" t="inlineStr">
        <is>
          <t>Innovation Services Phase II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405.64</v>
      </c>
      <c r="Z18" s="2" t="n">
        <v>4928.22</v>
      </c>
      <c r="AA18" s="2" t="n">
        <v>209.13</v>
      </c>
      <c r="AE18" s="10">
        <f>SUM(C18:AD18)</f>
        <v/>
      </c>
    </row>
    <row r="19">
      <c r="B19" t="inlineStr">
        <is>
          <t>Fringe 5990</t>
        </is>
      </c>
      <c r="Y19" s="2" t="n">
        <v>203.88</v>
      </c>
      <c r="Z19" s="2" t="n">
        <v>2476.92</v>
      </c>
      <c r="AA19" s="2" t="n">
        <v>113.2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31936.38</v>
      </c>
      <c r="Z21" s="2" t="n">
        <v>205426.02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935.74</v>
      </c>
      <c r="Z27" s="2" t="n">
        <v>6018.98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809.38</v>
      </c>
      <c r="Z29" s="2" t="n">
        <v>9833.280000000001</v>
      </c>
      <c r="AA29" s="2" t="n">
        <v>439.21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2220</v>
      </c>
      <c r="Z32" s="2" t="n">
        <v>3332</v>
      </c>
      <c r="AE32" s="10">
        <f>SUM(C32:AD32)</f>
        <v/>
      </c>
    </row>
    <row r="33">
      <c r="B33" t="inlineStr">
        <is>
          <t>Fringe 5990</t>
        </is>
      </c>
      <c r="Y33" s="2" t="n">
        <v>1116</v>
      </c>
      <c r="Z33" s="2" t="n">
        <v>1674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94944</v>
      </c>
      <c r="Z35" s="2" t="n">
        <v>142418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2782</v>
      </c>
      <c r="Z41" s="2" t="n">
        <v>4173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4430</v>
      </c>
      <c r="Z43" s="2" t="n">
        <v>6647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263736</v>
      </c>
      <c r="AE45" s="10">
        <f>SUM(C45:AD45)</f>
        <v/>
      </c>
    </row>
    <row r="46">
      <c r="B46" t="inlineStr">
        <is>
          <t>Obligated</t>
        </is>
      </c>
      <c r="Y46" s="2" t="n">
        <v>263736</v>
      </c>
      <c r="AE46" s="10">
        <f>SUM(C46:AD46)</f>
        <v/>
      </c>
    </row>
    <row r="47">
      <c r="B47" t="inlineStr">
        <is>
          <t>Expended</t>
        </is>
      </c>
      <c r="Z47" s="2" t="n">
        <v>263736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2ADP118</t>
        </is>
      </c>
    </row>
    <row r="4">
      <c r="A4" s="1" t="inlineStr">
        <is>
          <t>ROLLUP #</t>
        </is>
      </c>
      <c r="B4" t="inlineStr">
        <is>
          <t>1118</t>
        </is>
      </c>
    </row>
    <row r="5">
      <c r="A5" s="1" t="inlineStr">
        <is>
          <t>PROJECT NAME</t>
        </is>
      </c>
      <c r="B5" t="inlineStr">
        <is>
          <t>T-2 Program FY25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FY, FZ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84.20999999999999</v>
      </c>
      <c r="Z18" s="2" t="n">
        <v>2262.42</v>
      </c>
      <c r="AA18" s="2" t="n">
        <v>2150.68</v>
      </c>
      <c r="AB18" s="2" t="n">
        <v>17163.61</v>
      </c>
      <c r="AE18" s="10">
        <f>SUM(C18:AD18)</f>
        <v/>
      </c>
    </row>
    <row r="19">
      <c r="B19" t="inlineStr">
        <is>
          <t>Fringe 5990</t>
        </is>
      </c>
      <c r="Y19" s="2" t="n">
        <v>42.32</v>
      </c>
      <c r="Z19" s="2" t="n">
        <v>1137.09</v>
      </c>
      <c r="AA19" s="2" t="n">
        <v>1164.17</v>
      </c>
      <c r="AB19" s="2" t="n">
        <v>10007.54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223181.99</v>
      </c>
      <c r="AA21" s="2" t="n">
        <v>232653.98</v>
      </c>
      <c r="AB21" s="2" t="n">
        <v>176789.33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B25" s="2" t="n">
        <v>108.45</v>
      </c>
      <c r="AE25" s="10">
        <f>SUM(C25:AD25)</f>
        <v/>
      </c>
    </row>
    <row r="26">
      <c r="B26" t="inlineStr">
        <is>
          <t>Material 5003</t>
        </is>
      </c>
      <c r="AB26" s="2" t="n">
        <v>7375.64</v>
      </c>
      <c r="AE26" s="10">
        <f>SUM(C26:AD26)</f>
        <v/>
      </c>
    </row>
    <row r="27">
      <c r="B27" t="inlineStr">
        <is>
          <t>Sub K Overhead 5992</t>
        </is>
      </c>
      <c r="Z27" s="2" t="n">
        <v>6539.23</v>
      </c>
      <c r="AA27" s="2" t="n">
        <v>7049.41</v>
      </c>
      <c r="AB27" s="2" t="n">
        <v>5356.72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168.02</v>
      </c>
      <c r="Z29" s="2" t="n">
        <v>4514.21</v>
      </c>
      <c r="AA29" s="2" t="n">
        <v>4516.82</v>
      </c>
      <c r="AB29" s="2" t="n">
        <v>49025.82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5790.86</v>
      </c>
      <c r="Z32" s="2" t="n">
        <v>8686.290000000001</v>
      </c>
      <c r="AA32" s="2" t="n">
        <v>8686.290000000001</v>
      </c>
      <c r="AB32" s="2" t="n">
        <v>8686.290000000001</v>
      </c>
      <c r="AC32" s="2" t="n">
        <v>5784.86</v>
      </c>
      <c r="AE32" s="10">
        <f>SUM(C32:AD32)</f>
        <v/>
      </c>
    </row>
    <row r="33">
      <c r="B33" t="inlineStr">
        <is>
          <t>Fringe 5990</t>
        </is>
      </c>
      <c r="Y33" s="2" t="n">
        <v>2908.95</v>
      </c>
      <c r="Z33" s="2" t="n">
        <v>4363.86</v>
      </c>
      <c r="AA33" s="2" t="n">
        <v>4363.86</v>
      </c>
      <c r="AB33" s="2" t="n">
        <v>4363.86</v>
      </c>
      <c r="AC33" s="2" t="n">
        <v>2914.24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Z35" s="2" t="n">
        <v>236730</v>
      </c>
      <c r="AA35" s="2" t="n">
        <v>596236</v>
      </c>
      <c r="AB35" s="2" t="n">
        <v>599941</v>
      </c>
      <c r="AC35" s="2" t="n">
        <v>186568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Z41" s="2" t="n">
        <v>7031</v>
      </c>
      <c r="AA41" s="2" t="n">
        <v>17852</v>
      </c>
      <c r="AB41" s="2" t="n">
        <v>18179</v>
      </c>
      <c r="AC41" s="2" t="n">
        <v>5651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11552.72</v>
      </c>
      <c r="Z43" s="2" t="n">
        <v>17329.08</v>
      </c>
      <c r="AA43" s="2" t="n">
        <v>17329.08</v>
      </c>
      <c r="AB43" s="2" t="n">
        <v>17329.08</v>
      </c>
      <c r="AC43" s="2" t="n">
        <v>11551.72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1799829.24</v>
      </c>
      <c r="AE45" s="10">
        <f>SUM(C45:AD45)</f>
        <v/>
      </c>
    </row>
    <row r="46">
      <c r="B46" t="inlineStr">
        <is>
          <t>Obligated</t>
        </is>
      </c>
      <c r="Y46" s="2" t="n">
        <v>1799829.24</v>
      </c>
      <c r="AE46" s="10">
        <f>SUM(C46:AD46)</f>
        <v/>
      </c>
    </row>
    <row r="47">
      <c r="B47" t="inlineStr">
        <is>
          <t>Expended</t>
        </is>
      </c>
      <c r="Z47" s="2" t="n">
        <v>201000.45</v>
      </c>
      <c r="AA47" s="2" t="n">
        <v>600000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2ADP119</t>
        </is>
      </c>
    </row>
    <row r="4">
      <c r="A4" s="1" t="inlineStr">
        <is>
          <t>ROLLUP #</t>
        </is>
      </c>
      <c r="B4" t="inlineStr">
        <is>
          <t>1119</t>
        </is>
      </c>
    </row>
    <row r="5">
      <c r="A5" s="1" t="inlineStr">
        <is>
          <t>PROJECT NAME</t>
        </is>
      </c>
      <c r="B5" t="inlineStr">
        <is>
          <t>US Army Hybrid Electronics Collaboration Project</t>
        </is>
      </c>
    </row>
    <row r="6">
      <c r="A6" s="1" t="inlineStr">
        <is>
          <t>TECHNICAL POINT OF CONTACT</t>
        </is>
      </c>
      <c r="B6" t="inlineStr">
        <is>
          <t>Andres A. Bujanda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GN</t>
        </is>
      </c>
    </row>
    <row r="11">
      <c r="A11" s="1" t="inlineStr">
        <is>
          <t>AVAILABLE FUNDS</t>
        </is>
      </c>
      <c r="B11" s="2" t="n">
        <v>7603614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40.87</v>
      </c>
      <c r="AA18" s="2" t="n">
        <v>1134.04</v>
      </c>
      <c r="AB18" s="2" t="n">
        <v>224.24</v>
      </c>
      <c r="AE18" s="10">
        <f>SUM(C18:AD18)</f>
        <v/>
      </c>
    </row>
    <row r="19">
      <c r="B19" t="inlineStr">
        <is>
          <t>Fringe 5990</t>
        </is>
      </c>
      <c r="Z19" s="2" t="n">
        <v>20.54</v>
      </c>
      <c r="AA19" s="2" t="n">
        <v>613.86</v>
      </c>
      <c r="AB19" s="2" t="n">
        <v>121.38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81.55</v>
      </c>
      <c r="AA29" s="2" t="n">
        <v>2381.69</v>
      </c>
      <c r="AB29" s="2" t="n">
        <v>470.94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Z32" s="2" t="n">
        <v>6299</v>
      </c>
      <c r="AA32" s="2" t="n">
        <v>18897</v>
      </c>
      <c r="AB32" s="2" t="n">
        <v>18897</v>
      </c>
      <c r="AC32" s="2" t="n">
        <v>18897</v>
      </c>
      <c r="AD32" s="2" t="n">
        <v>18897</v>
      </c>
      <c r="AE32" s="10">
        <f>SUM(C32:AD32)</f>
        <v/>
      </c>
    </row>
    <row r="33">
      <c r="B33" t="inlineStr">
        <is>
          <t>Fringe 5990</t>
        </is>
      </c>
      <c r="Z33" s="2" t="n">
        <v>3410</v>
      </c>
      <c r="AA33" s="2" t="n">
        <v>10230</v>
      </c>
      <c r="AB33" s="2" t="n">
        <v>10230</v>
      </c>
      <c r="AC33" s="2" t="n">
        <v>10230</v>
      </c>
      <c r="AD33" s="2" t="n">
        <v>10230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Z43" s="2" t="n">
        <v>13229</v>
      </c>
      <c r="AA43" s="2" t="n">
        <v>39687</v>
      </c>
      <c r="AB43" s="2" t="n">
        <v>39687</v>
      </c>
      <c r="AC43" s="2" t="n">
        <v>39687</v>
      </c>
      <c r="AD43" s="2" t="n">
        <v>39687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8200000</v>
      </c>
      <c r="AE45" s="10">
        <f>SUM(C45:AD45)</f>
        <v/>
      </c>
    </row>
    <row r="46">
      <c r="B46" t="inlineStr">
        <is>
          <t>Obligated</t>
        </is>
      </c>
      <c r="Z46" s="2" t="n">
        <v>8200000</v>
      </c>
      <c r="AE46" s="10">
        <f>SUM(C46:AD46)</f>
        <v/>
      </c>
    </row>
    <row r="47">
      <c r="B47" t="inlineStr">
        <is>
          <t>Expended</t>
        </is>
      </c>
      <c r="AA47" s="2" t="n">
        <v>200000</v>
      </c>
      <c r="AB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2ADP120</t>
        </is>
      </c>
    </row>
    <row r="4">
      <c r="A4" s="1" t="inlineStr">
        <is>
          <t>ROLLUP #</t>
        </is>
      </c>
      <c r="B4" t="inlineStr">
        <is>
          <t>1120</t>
        </is>
      </c>
    </row>
    <row r="5">
      <c r="A5" s="1" t="inlineStr">
        <is>
          <t>PROJECT NAME</t>
        </is>
      </c>
      <c r="B5" t="inlineStr">
        <is>
          <t>DIU - Hacking for Defense Spring 2025 Phase 2</t>
        </is>
      </c>
    </row>
    <row r="6">
      <c r="A6" s="1" t="inlineStr">
        <is>
          <t>TECHNICAL POINT OF CONTACT</t>
        </is>
      </c>
      <c r="B6" t="inlineStr">
        <is>
          <t>Ngoc Lund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1989.11</v>
      </c>
      <c r="Z18" s="2" t="n">
        <v>29484.33</v>
      </c>
      <c r="AA18" s="2" t="n">
        <v>869.1900000000001</v>
      </c>
      <c r="AE18" s="10">
        <f>SUM(C18:AD18)</f>
        <v/>
      </c>
    </row>
    <row r="19">
      <c r="B19" t="inlineStr">
        <is>
          <t>Fringe 5990</t>
        </is>
      </c>
      <c r="Y19" s="2" t="n">
        <v>999.73</v>
      </c>
      <c r="Z19" s="2" t="n">
        <v>14818.82</v>
      </c>
      <c r="AA19" s="2" t="n">
        <v>470.49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74579.3</v>
      </c>
      <c r="Z21" s="2" t="n">
        <v>1263712</v>
      </c>
      <c r="AA21" s="2" t="n">
        <v>47708.7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2185.17</v>
      </c>
      <c r="Z27" s="2" t="n">
        <v>37026.77</v>
      </c>
      <c r="AA27" s="2" t="n">
        <v>1445.57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3968.88</v>
      </c>
      <c r="Z29" s="2" t="n">
        <v>58830.16</v>
      </c>
      <c r="AA29" s="2" t="n">
        <v>1825.45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10810</v>
      </c>
      <c r="Z32" s="2" t="n">
        <v>16215</v>
      </c>
      <c r="AA32" s="2" t="n">
        <v>5391</v>
      </c>
      <c r="AE32" s="10">
        <f>SUM(C32:AD32)</f>
        <v/>
      </c>
    </row>
    <row r="33">
      <c r="B33" t="inlineStr">
        <is>
          <t>Fringe 5990</t>
        </is>
      </c>
      <c r="Y33" s="2" t="n">
        <v>5432</v>
      </c>
      <c r="Z33" s="2" t="n">
        <v>8148</v>
      </c>
      <c r="AA33" s="2" t="n">
        <v>2713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462000</v>
      </c>
      <c r="Z35" s="2" t="n">
        <v>693000</v>
      </c>
      <c r="AA35" s="2" t="n">
        <v>231000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13536</v>
      </c>
      <c r="Z41" s="2" t="n">
        <v>20304</v>
      </c>
      <c r="AA41" s="2" t="n">
        <v>6770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21562</v>
      </c>
      <c r="Z43" s="2" t="n">
        <v>32343</v>
      </c>
      <c r="AA43" s="2" t="n">
        <v>10776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1540000</v>
      </c>
      <c r="AE45" s="10">
        <f>SUM(C45:AD45)</f>
        <v/>
      </c>
    </row>
    <row r="46">
      <c r="B46" t="inlineStr">
        <is>
          <t>Obligated</t>
        </is>
      </c>
      <c r="Y46" s="2" t="n">
        <v>1540000</v>
      </c>
      <c r="AE46" s="10">
        <f>SUM(C46:AD46)</f>
        <v/>
      </c>
    </row>
    <row r="47">
      <c r="B47" t="inlineStr">
        <is>
          <t>Expended</t>
        </is>
      </c>
      <c r="Z47" s="2" t="n">
        <v>1540000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2ADP121</t>
        </is>
      </c>
    </row>
    <row r="4">
      <c r="A4" s="1" t="inlineStr">
        <is>
          <t>ROLLUP #</t>
        </is>
      </c>
      <c r="B4" t="inlineStr">
        <is>
          <t>1121</t>
        </is>
      </c>
    </row>
    <row r="5">
      <c r="A5" s="1" t="inlineStr">
        <is>
          <t>PROJECT NAME</t>
        </is>
      </c>
      <c r="B5" t="inlineStr">
        <is>
          <t>Large Area Additive Manufacturing for Conformal Apertures (LAAMCA) Phase IV</t>
        </is>
      </c>
    </row>
    <row r="6">
      <c r="A6" s="1" t="inlineStr">
        <is>
          <t>TECHNICAL POINT OF CONTACT</t>
        </is>
      </c>
      <c r="B6" t="inlineStr">
        <is>
          <t>David Swank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77.65000000000001</v>
      </c>
      <c r="Z18" s="2" t="n">
        <v>2099.21</v>
      </c>
      <c r="AA18" s="2" t="n">
        <v>1506.32</v>
      </c>
      <c r="AB18" s="2" t="n">
        <v>1114.86</v>
      </c>
      <c r="AE18" s="10">
        <f>SUM(C18:AD18)</f>
        <v/>
      </c>
    </row>
    <row r="19">
      <c r="B19" t="inlineStr">
        <is>
          <t>Fringe 5990</t>
        </is>
      </c>
      <c r="Y19" s="2" t="n">
        <v>39.03</v>
      </c>
      <c r="Z19" s="2" t="n">
        <v>1055.06</v>
      </c>
      <c r="AA19" s="2" t="n">
        <v>815.36</v>
      </c>
      <c r="AB19" s="2" t="n">
        <v>603.47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1234.28</v>
      </c>
      <c r="AA21" s="2" t="n">
        <v>47951.81</v>
      </c>
      <c r="AB21" s="2" t="n">
        <v>49691.49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36.16</v>
      </c>
      <c r="AA27" s="2" t="n">
        <v>1452.94</v>
      </c>
      <c r="AB27" s="2" t="n">
        <v>1505.66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154.94</v>
      </c>
      <c r="Z29" s="2" t="n">
        <v>4188.56</v>
      </c>
      <c r="AA29" s="2" t="n">
        <v>3163.53</v>
      </c>
      <c r="AB29" s="2" t="n">
        <v>2341.38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1000000</v>
      </c>
      <c r="AE45" s="10">
        <f>SUM(C45:AD45)</f>
        <v/>
      </c>
    </row>
    <row r="46">
      <c r="B46" t="inlineStr">
        <is>
          <t>Obligated</t>
        </is>
      </c>
      <c r="Y46" s="2" t="n">
        <v>1000000</v>
      </c>
      <c r="AE46" s="10">
        <f>SUM(C46:AD46)</f>
        <v/>
      </c>
    </row>
    <row r="47">
      <c r="B47" t="inlineStr">
        <is>
          <t>Expended</t>
        </is>
      </c>
      <c r="Z47" s="2" t="n">
        <v>300000</v>
      </c>
      <c r="AA47" s="2" t="n">
        <v>50000</v>
      </c>
      <c r="AB47" s="2" t="n">
        <v>150000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2ADP122</t>
        </is>
      </c>
    </row>
    <row r="4">
      <c r="A4" s="1" t="inlineStr">
        <is>
          <t>ROLLUP #</t>
        </is>
      </c>
      <c r="B4" t="inlineStr">
        <is>
          <t>1122</t>
        </is>
      </c>
    </row>
    <row r="5">
      <c r="A5" s="1" t="inlineStr">
        <is>
          <t>PROJECT NAME</t>
        </is>
      </c>
      <c r="B5" t="inlineStr">
        <is>
          <t>High Temperature CMOS Signal Electronics FY25 Follow-On</t>
        </is>
      </c>
    </row>
    <row r="6">
      <c r="A6" s="1" t="inlineStr">
        <is>
          <t>TECHNICAL POINT OF CONTACT</t>
        </is>
      </c>
      <c r="B6" t="inlineStr">
        <is>
          <t>Katie Burzynski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221.89</v>
      </c>
      <c r="AA18" s="2" t="n">
        <v>80.53</v>
      </c>
      <c r="AB18" s="2" t="n">
        <v>1635.12</v>
      </c>
      <c r="AE18" s="10">
        <f>SUM(C18:AD18)</f>
        <v/>
      </c>
    </row>
    <row r="19">
      <c r="B19" t="inlineStr">
        <is>
          <t>Fringe 5990</t>
        </is>
      </c>
      <c r="Z19" s="2" t="n">
        <v>111.52</v>
      </c>
      <c r="AA19" s="2" t="n">
        <v>43.59</v>
      </c>
      <c r="AB19" s="2" t="n">
        <v>885.0700000000001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B21" s="2" t="n">
        <v>103483.78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B27" s="2" t="n">
        <v>3135.56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442.73</v>
      </c>
      <c r="AA29" s="2" t="n">
        <v>169.13</v>
      </c>
      <c r="AB29" s="2" t="n">
        <v>3433.96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1000000</v>
      </c>
      <c r="AE45" s="10">
        <f>SUM(C45:AD45)</f>
        <v/>
      </c>
    </row>
    <row r="46">
      <c r="B46" t="inlineStr">
        <is>
          <t>Obligated</t>
        </is>
      </c>
      <c r="Y46" s="2" t="n">
        <v>1000000</v>
      </c>
      <c r="AE46" s="10">
        <f>SUM(C46:AD46)</f>
        <v/>
      </c>
    </row>
    <row r="47">
      <c r="B47" t="inlineStr">
        <is>
          <t>Expended</t>
        </is>
      </c>
      <c r="Z47" s="2" t="n">
        <v>300000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2ADP123</t>
        </is>
      </c>
    </row>
    <row r="4">
      <c r="A4" s="1" t="inlineStr">
        <is>
          <t>ROLLUP #</t>
        </is>
      </c>
      <c r="B4" t="inlineStr">
        <is>
          <t>1123</t>
        </is>
      </c>
    </row>
    <row r="5">
      <c r="A5" s="1" t="inlineStr">
        <is>
          <t>PROJECT NAME</t>
        </is>
      </c>
      <c r="B5" t="inlineStr">
        <is>
          <t>Innovation Services FY25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1085</v>
      </c>
      <c r="AA18" s="2" t="n">
        <v>1139.72</v>
      </c>
      <c r="AE18" s="10">
        <f>SUM(C18:AD18)</f>
        <v/>
      </c>
    </row>
    <row r="19">
      <c r="B19" t="inlineStr">
        <is>
          <t>Fringe 5990</t>
        </is>
      </c>
      <c r="Z19" s="2" t="n">
        <v>545.3200000000001</v>
      </c>
      <c r="AA19" s="2" t="n">
        <v>616.9299999999999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209953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4040.44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6151.63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7530.21</v>
      </c>
      <c r="AA29" s="2" t="n">
        <v>2393.61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233280</v>
      </c>
      <c r="AE45" s="10">
        <f>SUM(C45:AD45)</f>
        <v/>
      </c>
    </row>
    <row r="46">
      <c r="B46" t="inlineStr">
        <is>
          <t>Obligated</t>
        </is>
      </c>
      <c r="Z46" s="2" t="n">
        <v>233280</v>
      </c>
      <c r="AE46" s="10">
        <f>SUM(C46:AD46)</f>
        <v/>
      </c>
    </row>
    <row r="47">
      <c r="B47" t="inlineStr">
        <is>
          <t>Expended</t>
        </is>
      </c>
      <c r="Z47" s="2" t="n">
        <v>233280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2ADP124</t>
        </is>
      </c>
    </row>
    <row r="4">
      <c r="A4" s="1" t="inlineStr">
        <is>
          <t>ROLLUP #</t>
        </is>
      </c>
      <c r="B4" t="inlineStr">
        <is>
          <t>713109</t>
        </is>
      </c>
    </row>
    <row r="5">
      <c r="A5" s="1" t="inlineStr">
        <is>
          <t>PROJECT NAME</t>
        </is>
      </c>
      <c r="B5" t="inlineStr">
        <is>
          <t>Hacking for Manufacturing (H4M) Pilot Program</t>
        </is>
      </c>
    </row>
    <row r="6">
      <c r="A6" s="1" t="inlineStr">
        <is>
          <t>TECHNICAL POINT OF CONTACT</t>
        </is>
      </c>
      <c r="B6" t="inlineStr">
        <is>
          <t>Jeffrey Pacuska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GG,GF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96.28</v>
      </c>
      <c r="AA18" s="2" t="n">
        <v>433.26</v>
      </c>
      <c r="AE18" s="10">
        <f>SUM(C18:AD18)</f>
        <v/>
      </c>
    </row>
    <row r="19">
      <c r="B19" t="inlineStr">
        <is>
          <t>Fringe 5990</t>
        </is>
      </c>
      <c r="Z19" s="2" t="n">
        <v>48.39</v>
      </c>
      <c r="AA19" s="2" t="n">
        <v>234.53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192.11</v>
      </c>
      <c r="AA29" s="2" t="n">
        <v>909.9299999999999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50000</v>
      </c>
      <c r="AE45" s="10">
        <f>SUM(C45:AD45)</f>
        <v/>
      </c>
    </row>
    <row r="46">
      <c r="B46" t="inlineStr">
        <is>
          <t>Obligated</t>
        </is>
      </c>
      <c r="Z46" s="2" t="n">
        <v>50000</v>
      </c>
      <c r="AE46" s="10">
        <f>SUM(C46:AD46)</f>
        <v/>
      </c>
    </row>
    <row r="47">
      <c r="B47" t="inlineStr">
        <is>
          <t>Expended</t>
        </is>
      </c>
      <c r="AA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2ADP125</t>
        </is>
      </c>
    </row>
    <row r="4">
      <c r="A4" s="1" t="inlineStr">
        <is>
          <t>ROLLUP #</t>
        </is>
      </c>
      <c r="B4" t="inlineStr">
        <is>
          <t>1125</t>
        </is>
      </c>
    </row>
    <row r="5">
      <c r="A5" s="1" t="inlineStr">
        <is>
          <t>PROJECT NAME</t>
        </is>
      </c>
      <c r="B5" t="inlineStr">
        <is>
          <t>Using FHE for Installation Resiliency and Efficiency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A21" s="2" t="n">
        <v>35085.92</v>
      </c>
      <c r="AB21" s="2" t="n">
        <v>92719.91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A27" s="2" t="n">
        <v>1063.1</v>
      </c>
      <c r="AB27" s="2" t="n">
        <v>2809.41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1479870</v>
      </c>
      <c r="AE45" s="10">
        <f>SUM(C45:AD45)</f>
        <v/>
      </c>
    </row>
    <row r="46">
      <c r="B46" t="inlineStr">
        <is>
          <t>Obligated</t>
        </is>
      </c>
      <c r="Z46" s="2" t="n">
        <v>1479870</v>
      </c>
      <c r="AE46" s="10">
        <f>SUM(C46:AD46)</f>
        <v/>
      </c>
    </row>
    <row r="47">
      <c r="B47" t="inlineStr">
        <is>
          <t>Expended</t>
        </is>
      </c>
      <c r="AA47" s="2" t="n">
        <v>325000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2ADP126</t>
        </is>
      </c>
    </row>
    <row r="4">
      <c r="A4" s="1" t="inlineStr">
        <is>
          <t>ROLLUP #</t>
        </is>
      </c>
      <c r="B4" t="inlineStr">
        <is>
          <t>1126</t>
        </is>
      </c>
    </row>
    <row r="5">
      <c r="A5" s="1" t="inlineStr">
        <is>
          <t>PROJECT NAME</t>
        </is>
      </c>
      <c r="B5" t="inlineStr">
        <is>
          <t>Skywalker ROIC Yield Improvement</t>
        </is>
      </c>
    </row>
    <row r="6">
      <c r="A6" s="1" t="inlineStr">
        <is>
          <t>TECHNICAL POINT OF CONTACT</t>
        </is>
      </c>
      <c r="B6" t="inlineStr">
        <is>
          <t>Jeff Bergman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GK, GS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140.15</v>
      </c>
      <c r="AA18" s="2" t="n">
        <v>1400.13</v>
      </c>
      <c r="AB18" s="2" t="n">
        <v>3206.75</v>
      </c>
      <c r="AE18" s="10">
        <f>SUM(C18:AD18)</f>
        <v/>
      </c>
    </row>
    <row r="19">
      <c r="B19" t="inlineStr">
        <is>
          <t>Fringe 5990</t>
        </is>
      </c>
      <c r="Z19" s="2" t="n">
        <v>70.44</v>
      </c>
      <c r="AA19" s="2" t="n">
        <v>757.89</v>
      </c>
      <c r="AB19" s="2" t="n">
        <v>1735.75</v>
      </c>
      <c r="AE19" s="10">
        <f>SUM(C19:AD19)</f>
        <v/>
      </c>
    </row>
    <row r="20">
      <c r="B20" t="inlineStr">
        <is>
          <t>Travel 5004</t>
        </is>
      </c>
      <c r="AB20" s="2" t="n">
        <v>1243.15</v>
      </c>
      <c r="AE20" s="10">
        <f>SUM(C20:AD20)</f>
        <v/>
      </c>
    </row>
    <row r="21">
      <c r="B21" t="inlineStr">
        <is>
          <t>Subcontracting 5005</t>
        </is>
      </c>
      <c r="AB21" s="2" t="n">
        <v>6467.91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B27" s="2" t="n">
        <v>195.97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279.64</v>
      </c>
      <c r="AA29" s="2" t="n">
        <v>2940.53</v>
      </c>
      <c r="AB29" s="2" t="n">
        <v>8428.4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1600000</v>
      </c>
      <c r="AE45" s="10">
        <f>SUM(C45:AD45)</f>
        <v/>
      </c>
    </row>
    <row r="46">
      <c r="B46" t="inlineStr">
        <is>
          <t>Obligated</t>
        </is>
      </c>
      <c r="Z46" s="2" t="n">
        <v>735253</v>
      </c>
      <c r="AE46" s="10">
        <f>SUM(C46:AD46)</f>
        <v/>
      </c>
    </row>
    <row r="47">
      <c r="B47" t="inlineStr">
        <is>
          <t>Expended</t>
        </is>
      </c>
      <c r="AA47" s="2" t="n">
        <v>135253</v>
      </c>
      <c r="AB47" s="2" t="n">
        <v>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2ADP127</t>
        </is>
      </c>
    </row>
    <row r="4">
      <c r="A4" s="1" t="inlineStr">
        <is>
          <t>ROLLUP #</t>
        </is>
      </c>
      <c r="B4" t="inlineStr">
        <is>
          <t>1127</t>
        </is>
      </c>
    </row>
    <row r="5">
      <c r="A5" s="1" t="inlineStr">
        <is>
          <t>PROJECT NAME</t>
        </is>
      </c>
      <c r="B5" t="inlineStr">
        <is>
          <t>DIU Innovation &amp; Entrepreneurship Prorgam FY2026 H4D</t>
        </is>
      </c>
    </row>
    <row r="6">
      <c r="A6" s="1" t="inlineStr">
        <is>
          <t>TECHNICAL POINT OF CONTACT</t>
        </is>
      </c>
      <c r="B6" t="inlineStr">
        <is>
          <t>Ngoc Lund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GL, GM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870.87</v>
      </c>
      <c r="AA18" s="2" t="n">
        <v>17574.55</v>
      </c>
      <c r="AB18" s="2" t="n">
        <v>10747.67</v>
      </c>
      <c r="AE18" s="10">
        <f>SUM(C18:AD18)</f>
        <v/>
      </c>
    </row>
    <row r="19">
      <c r="B19" t="inlineStr">
        <is>
          <t>Fringe 5990</t>
        </is>
      </c>
      <c r="Z19" s="2" t="n">
        <v>437.7</v>
      </c>
      <c r="AA19" s="2" t="n">
        <v>9513.1</v>
      </c>
      <c r="AB19" s="2" t="n">
        <v>5800.12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145582.43</v>
      </c>
      <c r="AA21" s="2" t="n">
        <v>296008.55</v>
      </c>
      <c r="AB21" s="2" t="n">
        <v>912057.27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9500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4265.57</v>
      </c>
      <c r="AA27" s="2" t="n">
        <v>8969.059999999999</v>
      </c>
      <c r="AB27" s="2" t="n">
        <v>37244.16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1737.65</v>
      </c>
      <c r="AA29" s="2" t="n">
        <v>36909.63</v>
      </c>
      <c r="AB29" s="2" t="n">
        <v>22503.75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3974850</v>
      </c>
      <c r="AE45" s="10">
        <f>SUM(C45:AD45)</f>
        <v/>
      </c>
    </row>
    <row r="46">
      <c r="B46" t="inlineStr">
        <is>
          <t>Obligated</t>
        </is>
      </c>
      <c r="Z46" s="2" t="n">
        <v>3974850</v>
      </c>
      <c r="AE46" s="10">
        <f>SUM(C46:AD46)</f>
        <v/>
      </c>
    </row>
    <row r="47">
      <c r="B47" t="inlineStr">
        <is>
          <t>Expended</t>
        </is>
      </c>
      <c r="AA47" s="2" t="n">
        <v>1500000</v>
      </c>
      <c r="AB47" s="2" t="n">
        <v>880616.24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2ADP128</t>
        </is>
      </c>
    </row>
    <row r="4">
      <c r="A4" s="1" t="inlineStr">
        <is>
          <t>ROLLUP #</t>
        </is>
      </c>
      <c r="B4" t="inlineStr">
        <is>
          <t>1128</t>
        </is>
      </c>
    </row>
    <row r="5">
      <c r="A5" s="1" t="inlineStr">
        <is>
          <t>PROJECT NAME</t>
        </is>
      </c>
      <c r="B5" t="inlineStr">
        <is>
          <t>NAVY Launch - Commercial Acceleration of Department of the Navy (DON) SBIR Awardees</t>
        </is>
      </c>
    </row>
    <row r="6">
      <c r="A6" s="1" t="inlineStr">
        <is>
          <t>TECHNICAL POINT OF CONTACT</t>
        </is>
      </c>
      <c r="B6" t="inlineStr">
        <is>
          <t>Brian Shipley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B18" s="2" t="n">
        <v>252.27</v>
      </c>
      <c r="AE18" s="10">
        <f>SUM(C18:AD18)</f>
        <v/>
      </c>
    </row>
    <row r="19">
      <c r="B19" t="inlineStr">
        <is>
          <t>Fringe 5990</t>
        </is>
      </c>
      <c r="AB19" s="2" t="n">
        <v>136.55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B21" s="2" t="n">
        <v>192017.3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B27" s="2" t="n">
        <v>5818.12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B29" s="2" t="n">
        <v>529.8099999999999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A45" s="2" t="n">
        <v>2805000</v>
      </c>
      <c r="AE45" s="10">
        <f>SUM(C45:AD45)</f>
        <v/>
      </c>
    </row>
    <row r="46">
      <c r="B46" t="inlineStr">
        <is>
          <t>Obligated</t>
        </is>
      </c>
      <c r="AA46" s="2" t="n">
        <v>2805000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2ADP129</t>
        </is>
      </c>
    </row>
    <row r="4">
      <c r="A4" s="1" t="inlineStr">
        <is>
          <t>ROLLUP #</t>
        </is>
      </c>
      <c r="B4" t="inlineStr">
        <is>
          <t>1129</t>
        </is>
      </c>
    </row>
    <row r="5">
      <c r="A5" s="1" t="inlineStr">
        <is>
          <t>PROJECT NAME</t>
        </is>
      </c>
      <c r="B5" t="inlineStr">
        <is>
          <t>T-2 Program FY24 Phase 2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GP, GQ</t>
        </is>
      </c>
    </row>
    <row r="11">
      <c r="A11" s="1" t="inlineStr">
        <is>
          <t>AVAILABLE FUNDS</t>
        </is>
      </c>
      <c r="B11" s="2" t="n">
        <v>881152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1034.5</v>
      </c>
      <c r="AB18" s="2" t="n">
        <v>460.3</v>
      </c>
      <c r="AE18" s="10">
        <f>SUM(C18:AD18)</f>
        <v/>
      </c>
    </row>
    <row r="19">
      <c r="B19" t="inlineStr">
        <is>
          <t>Fringe 5990</t>
        </is>
      </c>
      <c r="AA19" s="2" t="n">
        <v>559.97</v>
      </c>
      <c r="AB19" s="2" t="n">
        <v>249.14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2172.63</v>
      </c>
      <c r="AB29" s="2" t="n">
        <v>966.64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A45" s="2" t="n">
        <v>1729335.15</v>
      </c>
      <c r="AE45" s="10">
        <f>SUM(C45:AD45)</f>
        <v/>
      </c>
    </row>
    <row r="46">
      <c r="B46" t="inlineStr">
        <is>
          <t>Obligated</t>
        </is>
      </c>
      <c r="AA46" s="2" t="n">
        <v>1729335.15</v>
      </c>
      <c r="AE46" s="10">
        <f>SUM(C46:AD46)</f>
        <v/>
      </c>
    </row>
    <row r="47">
      <c r="B47" t="inlineStr">
        <is>
          <t>Expended</t>
        </is>
      </c>
      <c r="AB47" s="2" t="n">
        <v>300000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2ADP130</t>
        </is>
      </c>
    </row>
    <row r="4">
      <c r="A4" s="1" t="inlineStr">
        <is>
          <t>ROLLUP #</t>
        </is>
      </c>
      <c r="B4" t="inlineStr">
        <is>
          <t>Core130</t>
        </is>
      </c>
    </row>
    <row r="5">
      <c r="A5" s="1" t="inlineStr">
        <is>
          <t>PROJECT NAME</t>
        </is>
      </c>
      <c r="B5" t="inlineStr">
        <is>
          <t>OSD Hybrid Electronic Strategic Investment FY26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Core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724200</v>
      </c>
      <c r="AE32" s="10">
        <f>SUM(C32:AD32)</f>
        <v/>
      </c>
    </row>
    <row r="33">
      <c r="B33" t="inlineStr">
        <is>
          <t>Fringe 5990</t>
        </is>
      </c>
      <c r="AB33" s="2" t="n">
        <v>392010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B39" s="2" t="n">
        <v>1908117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284140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3308467.83</v>
      </c>
      <c r="AE45" s="10">
        <f>SUM(C45:AD45)</f>
        <v/>
      </c>
    </row>
    <row r="46">
      <c r="B46" t="inlineStr">
        <is>
          <t>Obligated</t>
        </is>
      </c>
      <c r="AB46" s="2" t="n">
        <v>3308467.83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2ADP131</t>
        </is>
      </c>
    </row>
    <row r="4">
      <c r="A4" s="1" t="inlineStr">
        <is>
          <t>ROLLUP #</t>
        </is>
      </c>
      <c r="B4" t="inlineStr">
        <is>
          <t>713110</t>
        </is>
      </c>
    </row>
    <row r="5">
      <c r="A5" s="1" t="inlineStr">
        <is>
          <t>PROJECT NAME</t>
        </is>
      </c>
      <c r="B5" t="inlineStr">
        <is>
          <t>Extreme Environment Devices for IoT to Address Casting and Forging Supply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49218</v>
      </c>
      <c r="AC32" s="2" t="n">
        <v>49218</v>
      </c>
      <c r="AD32" s="2" t="n">
        <v>49218</v>
      </c>
      <c r="AE32" s="10">
        <f>SUM(C32:AD32)</f>
        <v/>
      </c>
    </row>
    <row r="33">
      <c r="B33" t="inlineStr">
        <is>
          <t>Fringe 5990</t>
        </is>
      </c>
      <c r="AB33" s="2" t="n">
        <v>26643</v>
      </c>
      <c r="AC33" s="2" t="n">
        <v>26643</v>
      </c>
      <c r="AD33" s="2" t="n">
        <v>26643</v>
      </c>
      <c r="AE33" s="10">
        <f>SUM(C33:AD33)</f>
        <v/>
      </c>
    </row>
    <row r="34">
      <c r="B34" t="inlineStr">
        <is>
          <t>Travel 5004</t>
        </is>
      </c>
      <c r="AB34" s="2" t="n">
        <v>3231</v>
      </c>
      <c r="AC34" s="2" t="n">
        <v>3231</v>
      </c>
      <c r="AD34" s="2" t="n">
        <v>3231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B40" s="2" t="n">
        <v>1212</v>
      </c>
      <c r="AC40" s="2" t="n">
        <v>1212</v>
      </c>
      <c r="AD40" s="2" t="n">
        <v>1212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109422</v>
      </c>
      <c r="AC43" s="2" t="n">
        <v>109422</v>
      </c>
      <c r="AD43" s="2" t="n">
        <v>109422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822150</v>
      </c>
      <c r="AE45" s="10">
        <f>SUM(C45:AD45)</f>
        <v/>
      </c>
    </row>
    <row r="46">
      <c r="B46" t="inlineStr">
        <is>
          <t>Obligated</t>
        </is>
      </c>
      <c r="AB46" s="2" t="n">
        <v>822150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2ADP132</t>
        </is>
      </c>
    </row>
    <row r="4">
      <c r="A4" s="1" t="inlineStr">
        <is>
          <t>ROLLUP #</t>
        </is>
      </c>
      <c r="B4" t="inlineStr">
        <is>
          <t>1132</t>
        </is>
      </c>
    </row>
    <row r="5">
      <c r="A5" s="1" t="inlineStr">
        <is>
          <t>PROJECT NAME</t>
        </is>
      </c>
      <c r="B5" t="inlineStr">
        <is>
          <t>Using FHE for Installation Resiliency and Efficiency FY26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GY</t>
        </is>
      </c>
    </row>
    <row r="11">
      <c r="A11" s="1" t="inlineStr">
        <is>
          <t>AVAILABLE FUNDS</t>
        </is>
      </c>
      <c r="B11" s="2" t="n">
        <v>1442420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1188</v>
      </c>
      <c r="AC32" s="2" t="n">
        <v>1188</v>
      </c>
      <c r="AD32" s="2" t="n">
        <v>1188</v>
      </c>
      <c r="AE32" s="10">
        <f>SUM(C32:AD32)</f>
        <v/>
      </c>
    </row>
    <row r="33">
      <c r="B33" t="inlineStr">
        <is>
          <t>Fringe 5990</t>
        </is>
      </c>
      <c r="AB33" s="2" t="n">
        <v>642</v>
      </c>
      <c r="AC33" s="2" t="n">
        <v>642</v>
      </c>
      <c r="AD33" s="2" t="n">
        <v>642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2493</v>
      </c>
      <c r="AC43" s="2" t="n">
        <v>2493</v>
      </c>
      <c r="AD43" s="2" t="n">
        <v>2493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1479870</v>
      </c>
      <c r="AE45" s="10">
        <f>SUM(C45:AD45)</f>
        <v/>
      </c>
    </row>
    <row r="46">
      <c r="B46" t="inlineStr">
        <is>
          <t>Obligated</t>
        </is>
      </c>
      <c r="AB46" s="2" t="n">
        <v>1479870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2ADP135</t>
        </is>
      </c>
    </row>
    <row r="4">
      <c r="A4" s="1" t="inlineStr">
        <is>
          <t>ROLLUP #</t>
        </is>
      </c>
      <c r="B4" t="inlineStr">
        <is>
          <t>1135</t>
        </is>
      </c>
    </row>
    <row r="5">
      <c r="A5" s="1" t="inlineStr">
        <is>
          <t>PROJECT NAME</t>
        </is>
      </c>
      <c r="B5" t="inlineStr">
        <is>
          <t>TSA Enterprise Innovation Support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2ADP137</t>
        </is>
      </c>
    </row>
    <row r="4">
      <c r="A4" s="1" t="inlineStr">
        <is>
          <t>ROLLUP #</t>
        </is>
      </c>
      <c r="B4" t="inlineStr">
        <is>
          <t>716334</t>
        </is>
      </c>
    </row>
    <row r="5">
      <c r="A5" s="1" t="inlineStr">
        <is>
          <t>PROJECT NAME</t>
        </is>
      </c>
      <c r="B5" t="inlineStr">
        <is>
          <t>Electronics for Unmanned Systems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10530</v>
      </c>
      <c r="AC32" s="2" t="n">
        <v>31590</v>
      </c>
      <c r="AD32" s="2" t="n">
        <v>31590</v>
      </c>
      <c r="AE32" s="10">
        <f>SUM(C32:AD32)</f>
        <v/>
      </c>
    </row>
    <row r="33">
      <c r="B33" t="inlineStr">
        <is>
          <t>Fringe 5990</t>
        </is>
      </c>
      <c r="AB33" s="2" t="n">
        <v>5700</v>
      </c>
      <c r="AC33" s="2" t="n">
        <v>17100</v>
      </c>
      <c r="AD33" s="2" t="n">
        <v>17100</v>
      </c>
      <c r="AE33" s="10">
        <f>SUM(C33:AD33)</f>
        <v/>
      </c>
    </row>
    <row r="34">
      <c r="B34" t="inlineStr">
        <is>
          <t>Travel 5004</t>
        </is>
      </c>
      <c r="AB34" s="2" t="n">
        <v>172</v>
      </c>
      <c r="AC34" s="2" t="n">
        <v>516</v>
      </c>
      <c r="AD34" s="2" t="n">
        <v>516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B39" s="2" t="n">
        <v>24</v>
      </c>
      <c r="AC39" s="2" t="n">
        <v>72</v>
      </c>
      <c r="AD39" s="2" t="n">
        <v>72</v>
      </c>
      <c r="AE39" s="10">
        <f>SUM(C39:AD39)</f>
        <v/>
      </c>
    </row>
    <row r="40">
      <c r="B40" t="inlineStr">
        <is>
          <t>Material 5003</t>
        </is>
      </c>
      <c r="AB40" s="2" t="n">
        <v>1394</v>
      </c>
      <c r="AC40" s="2" t="n">
        <v>4182</v>
      </c>
      <c r="AD40" s="2" t="n">
        <v>4182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24283</v>
      </c>
      <c r="AC43" s="2" t="n">
        <v>72849</v>
      </c>
      <c r="AD43" s="2" t="n">
        <v>72849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800000</v>
      </c>
      <c r="AE45" s="10">
        <f>SUM(C45:AD45)</f>
        <v/>
      </c>
    </row>
    <row r="46">
      <c r="B46" t="inlineStr">
        <is>
          <t>Obligated</t>
        </is>
      </c>
      <c r="AB46" s="2" t="n">
        <v>800000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2ADP138</t>
        </is>
      </c>
    </row>
    <row r="4">
      <c r="A4" s="1" t="inlineStr">
        <is>
          <t>ROLLUP #</t>
        </is>
      </c>
      <c r="B4" t="inlineStr">
        <is>
          <t>1138</t>
        </is>
      </c>
    </row>
    <row r="5">
      <c r="A5" s="1" t="inlineStr">
        <is>
          <t>PROJECT NAME</t>
        </is>
      </c>
      <c r="B5" t="inlineStr">
        <is>
          <t>Integration of FHE with Advanced Robotic for Manufacturing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324</v>
      </c>
      <c r="AC32" s="2" t="n">
        <v>972</v>
      </c>
      <c r="AD32" s="2" t="n">
        <v>972</v>
      </c>
      <c r="AE32" s="10">
        <f>SUM(C32:AD32)</f>
        <v/>
      </c>
    </row>
    <row r="33">
      <c r="B33" t="inlineStr">
        <is>
          <t>Fringe 5990</t>
        </is>
      </c>
      <c r="AB33" s="2" t="n">
        <v>176</v>
      </c>
      <c r="AC33" s="2" t="n">
        <v>528</v>
      </c>
      <c r="AD33" s="2" t="n">
        <v>528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B35" s="2" t="n">
        <v>14932.75</v>
      </c>
      <c r="AC35" s="2" t="n">
        <v>44798.25</v>
      </c>
      <c r="AD35" s="2" t="n">
        <v>44798.25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B41" s="2" t="n">
        <v>452.46</v>
      </c>
      <c r="AC41" s="2" t="n">
        <v>1357.38</v>
      </c>
      <c r="AD41" s="2" t="n">
        <v>1357.38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678</v>
      </c>
      <c r="AC43" s="2" t="n">
        <v>2034</v>
      </c>
      <c r="AD43" s="2" t="n">
        <v>2034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265000</v>
      </c>
      <c r="AE45" s="10">
        <f>SUM(C45:AD45)</f>
        <v/>
      </c>
    </row>
    <row r="46">
      <c r="B46" t="inlineStr">
        <is>
          <t>Obligated</t>
        </is>
      </c>
      <c r="AB46" s="2" t="n">
        <v>265000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2ADP140</t>
        </is>
      </c>
    </row>
    <row r="4">
      <c r="A4" s="1" t="inlineStr">
        <is>
          <t>ROLLUP #</t>
        </is>
      </c>
      <c r="B4" t="inlineStr">
        <is>
          <t>1140</t>
        </is>
      </c>
    </row>
    <row r="5">
      <c r="A5" s="1" t="inlineStr">
        <is>
          <t>PROJECT NAME</t>
        </is>
      </c>
      <c r="B5" t="inlineStr">
        <is>
          <t>Compact Wide-band Frequency Agile Microwave Filters for WARCHAMP Phase III</t>
        </is>
      </c>
    </row>
    <row r="6">
      <c r="A6" s="1" t="inlineStr">
        <is>
          <t>TECHNICAL POINT OF CONTACT</t>
        </is>
      </c>
      <c r="B6" t="inlineStr">
        <is>
          <t>Michael R.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659</v>
      </c>
      <c r="AC32" s="2" t="n">
        <v>1977</v>
      </c>
      <c r="AD32" s="2" t="n">
        <v>1977</v>
      </c>
      <c r="AE32" s="10">
        <f>SUM(C32:AD32)</f>
        <v/>
      </c>
    </row>
    <row r="33">
      <c r="B33" t="inlineStr">
        <is>
          <t>Fringe 5990</t>
        </is>
      </c>
      <c r="AB33" s="2" t="n">
        <v>357</v>
      </c>
      <c r="AC33" s="2" t="n">
        <v>1071</v>
      </c>
      <c r="AD33" s="2" t="n">
        <v>1071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B35" s="2" t="n">
        <v>58333.33</v>
      </c>
      <c r="AC35" s="2" t="n">
        <v>174999.99</v>
      </c>
      <c r="AD35" s="2" t="n">
        <v>174999.99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B41" s="2" t="n">
        <v>1767.5</v>
      </c>
      <c r="AC41" s="2" t="n">
        <v>5302.5</v>
      </c>
      <c r="AD41" s="2" t="n">
        <v>5302.5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1384</v>
      </c>
      <c r="AC43" s="2" t="n">
        <v>4152</v>
      </c>
      <c r="AD43" s="2" t="n">
        <v>4152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750000</v>
      </c>
      <c r="AE45" s="10">
        <f>SUM(C45:AD45)</f>
        <v/>
      </c>
    </row>
    <row r="46">
      <c r="B46" t="inlineStr">
        <is>
          <t>Obligated</t>
        </is>
      </c>
      <c r="AB46" s="2" t="n">
        <v>750000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2026-04-29T21:05:57Z</dcterms:created>
  <dcterms:modified xsi:type="dcterms:W3CDTF">2026-04-29T23:01:27Z</dcterms:modified>
</cp:coreProperties>
</file>