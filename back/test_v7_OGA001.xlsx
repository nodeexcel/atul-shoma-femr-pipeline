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GA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OGA001</t>
        </is>
      </c>
    </row>
    <row r="4">
      <c r="A4" s="1" t="inlineStr">
        <is>
          <t>ROLLUP #</t>
        </is>
      </c>
      <c r="B4" t="inlineStr">
        <is>
          <t>2001</t>
        </is>
      </c>
    </row>
    <row r="5">
      <c r="A5" s="1" t="inlineStr">
        <is>
          <t>PROJECT NAME</t>
        </is>
      </c>
      <c r="B5" t="inlineStr">
        <is>
          <t>Wearable Sensors for Multi Domain Platoon Operations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J18" s="10" t="n">
        <v>178257.43</v>
      </c>
      <c r="N18" s="10" t="n">
        <v>162618.93</v>
      </c>
      <c r="O18" s="10" t="n">
        <v>33966.2</v>
      </c>
      <c r="P18" s="10" t="n">
        <v>32139.15</v>
      </c>
      <c r="Q18" s="10" t="n">
        <v>7245.29</v>
      </c>
      <c r="R18" s="10" t="n">
        <v>31329.97</v>
      </c>
      <c r="S18" s="10" t="n">
        <v>88151.39999999999</v>
      </c>
      <c r="T18" s="10" t="n">
        <v>80557.94</v>
      </c>
      <c r="U18" s="10" t="n">
        <v>12493.98</v>
      </c>
      <c r="V18" s="10" t="n">
        <v>18615.22</v>
      </c>
      <c r="W18" s="10" t="n">
        <v>57233.98</v>
      </c>
      <c r="X18" s="10" t="n">
        <v>40240.44</v>
      </c>
      <c r="Y18" s="10" t="n">
        <v>19939.12</v>
      </c>
      <c r="Z18" s="10" t="n">
        <v>11861.25</v>
      </c>
      <c r="AE18" s="9">
        <f>SUM(C18:AD18)</f>
        <v/>
      </c>
    </row>
    <row r="19">
      <c r="B19" t="inlineStr">
        <is>
          <t>Fringe 5990</t>
        </is>
      </c>
      <c r="J19" s="10" t="n">
        <v>70358.21000000001</v>
      </c>
      <c r="N19" s="10" t="n">
        <v>69796.03999999999</v>
      </c>
      <c r="O19" s="10" t="n">
        <v>15379.9</v>
      </c>
      <c r="P19" s="10" t="n">
        <v>14552.6</v>
      </c>
      <c r="Q19" s="10" t="n">
        <v>3280.65</v>
      </c>
      <c r="R19" s="10" t="n">
        <v>14186.22</v>
      </c>
      <c r="S19" s="10" t="n">
        <v>39914.96</v>
      </c>
      <c r="T19" s="10" t="n">
        <v>41234.26</v>
      </c>
      <c r="U19" s="10" t="n">
        <v>6009.61</v>
      </c>
      <c r="V19" s="10" t="n">
        <v>8953.92</v>
      </c>
      <c r="W19" s="10" t="n">
        <v>28765.79</v>
      </c>
      <c r="X19" s="10" t="n">
        <v>20224.84</v>
      </c>
      <c r="Y19" s="10" t="n">
        <v>10021.4</v>
      </c>
      <c r="Z19" s="10" t="n">
        <v>5961.46</v>
      </c>
      <c r="AE19" s="9">
        <f>SUM(C19:AD19)</f>
        <v/>
      </c>
    </row>
    <row r="20">
      <c r="B20" t="inlineStr">
        <is>
          <t>Travel 5004</t>
        </is>
      </c>
      <c r="N20" s="10" t="n">
        <v>3382.81</v>
      </c>
      <c r="AE20" s="9">
        <f>SUM(C20:AD20)</f>
        <v/>
      </c>
    </row>
    <row r="21">
      <c r="B21" t="inlineStr">
        <is>
          <t>Subcontracting 5005</t>
        </is>
      </c>
      <c r="J21" s="10" t="n">
        <v>146816</v>
      </c>
      <c r="P21" s="10" t="n">
        <v>240000</v>
      </c>
      <c r="Q21" s="10" t="n">
        <v>2452857</v>
      </c>
      <c r="R21" s="10" t="n">
        <v>1285647.41</v>
      </c>
      <c r="S21" s="10" t="n">
        <v>155287.67</v>
      </c>
      <c r="U21" s="10" t="n">
        <v>280000</v>
      </c>
      <c r="V21" s="10" t="n">
        <v>-170000</v>
      </c>
      <c r="Y21" s="10" t="n">
        <v>1096207.94</v>
      </c>
      <c r="Z21" s="10" t="n">
        <v>109504</v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J25" s="10" t="n">
        <v>5695</v>
      </c>
      <c r="N25" s="10" t="n">
        <v>263.2</v>
      </c>
      <c r="P25" s="10" t="n">
        <v>30.62</v>
      </c>
      <c r="S25" s="10" t="n">
        <v>6355.85</v>
      </c>
      <c r="T25" s="10" t="n">
        <v>1205.71</v>
      </c>
      <c r="V25" s="10" t="n">
        <v>172.26</v>
      </c>
      <c r="W25" s="10" t="n">
        <v>133.1</v>
      </c>
      <c r="X25" s="10" t="n">
        <v>186.35</v>
      </c>
      <c r="Y25" s="10" t="n">
        <v>71.18000000000001</v>
      </c>
      <c r="AE25" s="9">
        <f>SUM(C25:AD25)</f>
        <v/>
      </c>
    </row>
    <row r="26">
      <c r="B26" t="inlineStr">
        <is>
          <t>Material 5003</t>
        </is>
      </c>
      <c r="J26" s="10" t="n">
        <v>4422.86</v>
      </c>
      <c r="N26" s="10" t="n">
        <v>834.97</v>
      </c>
      <c r="O26" s="10" t="n">
        <v>1097.8</v>
      </c>
      <c r="P26" s="10" t="n">
        <v>2630.07</v>
      </c>
      <c r="Q26" s="10" t="n">
        <v>1905.74</v>
      </c>
      <c r="R26" s="10" t="n">
        <v>11348.83</v>
      </c>
      <c r="S26" s="10" t="n">
        <v>26849.89</v>
      </c>
      <c r="T26" s="10" t="n">
        <v>6453.51</v>
      </c>
      <c r="V26" s="10" t="n">
        <v>3141.81</v>
      </c>
      <c r="W26" s="10" t="n">
        <v>1965.5</v>
      </c>
      <c r="X26" s="10" t="n">
        <v>1107.44</v>
      </c>
      <c r="AE26" s="9">
        <f>SUM(C26:AD26)</f>
        <v/>
      </c>
    </row>
    <row r="27">
      <c r="B27" t="inlineStr">
        <is>
          <t>Sub K Overhead 5992</t>
        </is>
      </c>
      <c r="P27" s="10" t="n">
        <v>6792</v>
      </c>
      <c r="Q27" s="10" t="n">
        <v>69415.85000000001</v>
      </c>
      <c r="R27" s="10" t="n">
        <v>36383.82</v>
      </c>
      <c r="S27" s="10" t="n">
        <v>4394.64</v>
      </c>
      <c r="T27" s="10" t="n">
        <v>357.16</v>
      </c>
      <c r="U27" s="10" t="n">
        <v>8568</v>
      </c>
      <c r="V27" s="10" t="n">
        <v>-5202</v>
      </c>
      <c r="Y27" s="10" t="n">
        <v>32118.89</v>
      </c>
      <c r="Z27" s="10" t="n">
        <v>3208.47</v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J29" s="10" t="n">
        <v>142639.55</v>
      </c>
      <c r="N29" s="10" t="n">
        <v>305927.42</v>
      </c>
      <c r="O29" s="10" t="n">
        <v>73002.39999999999</v>
      </c>
      <c r="P29" s="10" t="n">
        <v>71422.88</v>
      </c>
      <c r="Q29" s="10" t="n">
        <v>17991.16</v>
      </c>
      <c r="R29" s="10" t="n">
        <v>82295.03999999999</v>
      </c>
      <c r="S29" s="10" t="n">
        <v>233392.99</v>
      </c>
      <c r="T29" s="10" t="n">
        <v>148588.6</v>
      </c>
      <c r="U29" s="10" t="n">
        <v>24311.87</v>
      </c>
      <c r="V29" s="10" t="n">
        <v>40577.47</v>
      </c>
      <c r="W29" s="10" t="n">
        <v>116985.83</v>
      </c>
      <c r="X29" s="10" t="n">
        <v>82009.88</v>
      </c>
      <c r="Y29" s="10" t="n">
        <v>39879.09</v>
      </c>
      <c r="Z29" s="10" t="n">
        <v>23666.78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H32" s="10" t="n">
        <v>80312.97</v>
      </c>
      <c r="I32" s="10" t="n">
        <v>80312.97</v>
      </c>
      <c r="J32" s="10" t="n">
        <v>26770.99</v>
      </c>
      <c r="L32" s="10" t="n">
        <v>17007.84</v>
      </c>
      <c r="M32" s="10" t="n">
        <v>51023.49</v>
      </c>
      <c r="N32" s="10" t="n">
        <v>51023.49</v>
      </c>
      <c r="O32" s="10" t="n">
        <v>51023.49</v>
      </c>
      <c r="P32" s="10" t="n">
        <v>51023.49</v>
      </c>
      <c r="Q32" s="10" t="n">
        <v>51023.49</v>
      </c>
      <c r="R32" s="10" t="n">
        <v>51025.49</v>
      </c>
      <c r="S32" s="10" t="n">
        <v>51023.49</v>
      </c>
      <c r="T32" s="10" t="n">
        <v>34015.66</v>
      </c>
      <c r="AE32" s="9">
        <f>SUM(C32:AD32)</f>
        <v/>
      </c>
    </row>
    <row r="33">
      <c r="B33" t="inlineStr">
        <is>
          <t>Fringe 5990</t>
        </is>
      </c>
      <c r="H33" s="10" t="n">
        <v>33394.14</v>
      </c>
      <c r="I33" s="10" t="n">
        <v>33394.14</v>
      </c>
      <c r="J33" s="10" t="n">
        <v>11131.38</v>
      </c>
      <c r="L33" s="10" t="n">
        <v>7701.57</v>
      </c>
      <c r="M33" s="10" t="n">
        <v>23104.71</v>
      </c>
      <c r="N33" s="10" t="n">
        <v>23104.71</v>
      </c>
      <c r="O33" s="10" t="n">
        <v>23104.71</v>
      </c>
      <c r="P33" s="10" t="n">
        <v>23104.71</v>
      </c>
      <c r="Q33" s="10" t="n">
        <v>23104.71</v>
      </c>
      <c r="R33" s="10" t="n">
        <v>23104.71</v>
      </c>
      <c r="S33" s="10" t="n">
        <v>23104.71</v>
      </c>
      <c r="T33" s="10" t="n">
        <v>15403.3</v>
      </c>
      <c r="AE33" s="9">
        <f>SUM(C33:AD33)</f>
        <v/>
      </c>
    </row>
    <row r="34">
      <c r="B34" t="inlineStr">
        <is>
          <t>Travel 5004</t>
        </is>
      </c>
      <c r="H34" s="10" t="n">
        <v>3600</v>
      </c>
      <c r="I34" s="10" t="n">
        <v>3600</v>
      </c>
      <c r="J34" s="10" t="n">
        <v>1200</v>
      </c>
      <c r="AE34" s="9">
        <f>SUM(C34:AD34)</f>
        <v/>
      </c>
    </row>
    <row r="35">
      <c r="B35" t="inlineStr">
        <is>
          <t>Subcontracting 5005</t>
        </is>
      </c>
      <c r="H35" s="10" t="n">
        <v>63875.37</v>
      </c>
      <c r="I35" s="10" t="n">
        <v>63875.37</v>
      </c>
      <c r="J35" s="10" t="n">
        <v>21291.79</v>
      </c>
      <c r="L35" s="10" t="n">
        <v>235395.99</v>
      </c>
      <c r="M35" s="10" t="n">
        <v>706187.97</v>
      </c>
      <c r="N35" s="10" t="n">
        <v>706187.97</v>
      </c>
      <c r="O35" s="10" t="n">
        <v>706187.97</v>
      </c>
      <c r="P35" s="10" t="n">
        <v>706187.97</v>
      </c>
      <c r="Q35" s="10" t="n">
        <v>706187.97</v>
      </c>
      <c r="R35" s="10" t="n">
        <v>706187.97</v>
      </c>
      <c r="S35" s="10" t="n">
        <v>706187.97</v>
      </c>
      <c r="T35" s="10" t="n">
        <v>470791.98</v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L38" s="10" t="n">
        <v>90000</v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H40" s="10" t="n">
        <v>4285.71</v>
      </c>
      <c r="I40" s="10" t="n">
        <v>4285.71</v>
      </c>
      <c r="J40" s="10" t="n">
        <v>1428.58</v>
      </c>
      <c r="L40" s="10" t="n">
        <v>4583.34</v>
      </c>
      <c r="M40" s="10" t="n">
        <v>13750.02</v>
      </c>
      <c r="N40" s="10" t="n">
        <v>13750.02</v>
      </c>
      <c r="O40" s="10" t="n">
        <v>13750.02</v>
      </c>
      <c r="P40" s="10" t="n">
        <v>13750.02</v>
      </c>
      <c r="Q40" s="10" t="n">
        <v>13750.02</v>
      </c>
      <c r="R40" s="10" t="n">
        <v>13750.02</v>
      </c>
      <c r="S40" s="10" t="n">
        <v>13750.02</v>
      </c>
      <c r="T40" s="10" t="n">
        <v>9166.68</v>
      </c>
      <c r="AE40" s="9">
        <f>SUM(C40:AD40)</f>
        <v/>
      </c>
    </row>
    <row r="41">
      <c r="B41" t="inlineStr">
        <is>
          <t>Sub K Overhead 5992</t>
        </is>
      </c>
      <c r="L41" s="10" t="n">
        <v>6638.75</v>
      </c>
      <c r="M41" s="10" t="n">
        <v>19916.25</v>
      </c>
      <c r="N41" s="10" t="n">
        <v>19916.25</v>
      </c>
      <c r="O41" s="10" t="n">
        <v>19916.25</v>
      </c>
      <c r="P41" s="10" t="n">
        <v>19916.25</v>
      </c>
      <c r="Q41" s="10" t="n">
        <v>19916.25</v>
      </c>
      <c r="R41" s="10" t="n">
        <v>19916.25</v>
      </c>
      <c r="S41" s="10" t="n">
        <v>19916.25</v>
      </c>
      <c r="T41" s="10" t="n">
        <v>13277.5</v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H43" s="10" t="n">
        <v>28817.49</v>
      </c>
      <c r="I43" s="10" t="n">
        <v>28817.49</v>
      </c>
      <c r="J43" s="10" t="n">
        <v>9605.860000000001</v>
      </c>
      <c r="L43" s="10" t="n">
        <v>47818.84</v>
      </c>
      <c r="M43" s="10" t="n">
        <v>143456.52</v>
      </c>
      <c r="N43" s="10" t="n">
        <v>143456.52</v>
      </c>
      <c r="O43" s="10" t="n">
        <v>143456.52</v>
      </c>
      <c r="P43" s="10" t="n">
        <v>143456.52</v>
      </c>
      <c r="Q43" s="10" t="n">
        <v>143456.52</v>
      </c>
      <c r="R43" s="10" t="n">
        <v>143456.52</v>
      </c>
      <c r="S43" s="10" t="n">
        <v>143456.52</v>
      </c>
      <c r="T43" s="10" t="n">
        <v>96123.84</v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2026-04-16T07:15:20Z</dcterms:created>
  <dcterms:modified xsi:type="dcterms:W3CDTF">2026-04-16T07:17:38Z</dcterms:modified>
</cp:coreProperties>
</file>