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52" sheetId="1" state="visible" r:id="rId1"/>
    <sheet name="1ADP053" sheetId="2" state="visible" r:id="rId2"/>
    <sheet name="1ADP054" sheetId="3" state="visible" r:id="rId3"/>
    <sheet name="1ADP055" sheetId="4" state="visible" r:id="rId4"/>
    <sheet name="1ADP056" sheetId="5" state="visible" r:id="rId5"/>
    <sheet name="1ADP057" sheetId="6" state="visible" r:id="rId6"/>
    <sheet name="1ADP058" sheetId="7" state="visible" r:id="rId7"/>
    <sheet name="1ADP059" sheetId="8" state="visible" r:id="rId8"/>
    <sheet name="1ADP060" sheetId="9" state="visible" r:id="rId9"/>
    <sheet name="1ADP061" sheetId="10" state="visible" r:id="rId10"/>
    <sheet name="1PC001" sheetId="11" state="visible" r:id="rId11"/>
    <sheet name="1PC002" sheetId="12" state="visible" r:id="rId12"/>
    <sheet name="1PC003" sheetId="13" state="visible" r:id="rId13"/>
    <sheet name="1PC004" sheetId="14" state="visible" r:id="rId14"/>
    <sheet name="1PC005" sheetId="15" state="visible" r:id="rId15"/>
    <sheet name="1PC006" sheetId="16" state="visible" r:id="rId16"/>
    <sheet name="1PC007" sheetId="17" state="visible" r:id="rId17"/>
    <sheet name="1PC008" sheetId="18" state="visible" r:id="rId18"/>
    <sheet name="1PC009" sheetId="19" state="visible" r:id="rId19"/>
    <sheet name="1PC010" sheetId="20" state="visible" r:id="rId20"/>
    <sheet name="1PC011" sheetId="21" state="visible" r:id="rId21"/>
    <sheet name="1PC012" sheetId="22" state="visible" r:id="rId22"/>
    <sheet name="1PC013" sheetId="23" state="visible" r:id="rId23"/>
    <sheet name="1PC014" sheetId="24" state="visible" r:id="rId24"/>
    <sheet name="1PC015" sheetId="25" state="visible" r:id="rId25"/>
    <sheet name="1PC016" sheetId="26" state="visible" r:id="rId26"/>
    <sheet name="1PC017" sheetId="27" state="visible" r:id="rId27"/>
    <sheet name="1PC018" sheetId="28" state="visible" r:id="rId28"/>
    <sheet name="1PC019" sheetId="29" state="visible" r:id="rId29"/>
    <sheet name="1PC020" sheetId="30" state="visible" r:id="rId30"/>
    <sheet name="1PC021" sheetId="31" state="visible" r:id="rId31"/>
    <sheet name="1PC022" sheetId="32" state="visible" r:id="rId32"/>
    <sheet name="1PC023" sheetId="33" state="visible" r:id="rId33"/>
    <sheet name="1PC024" sheetId="34" state="visible" r:id="rId34"/>
    <sheet name="1PC025" sheetId="35" state="visible" r:id="rId35"/>
    <sheet name="1PC026" sheetId="36" state="visible" r:id="rId36"/>
    <sheet name="1PC027" sheetId="37" state="visible" r:id="rId37"/>
    <sheet name="1PC028" sheetId="38" state="visible" r:id="rId38"/>
    <sheet name="1PC029" sheetId="39" state="visible" r:id="rId39"/>
    <sheet name="1PC030" sheetId="40" state="visible" r:id="rId40"/>
    <sheet name="1PC031" sheetId="41" state="visible" r:id="rId41"/>
    <sheet name="1PC032" sheetId="42" state="visible" r:id="rId42"/>
    <sheet name="1PC033" sheetId="43" state="visible" r:id="rId43"/>
    <sheet name="1PC034" sheetId="44" state="visible" r:id="rId44"/>
    <sheet name="1PC035" sheetId="45" state="visible" r:id="rId45"/>
    <sheet name="1PC036" sheetId="46" state="visible" r:id="rId46"/>
    <sheet name="1PC037" sheetId="47" state="visible" r:id="rId47"/>
    <sheet name="1PC038" sheetId="48" state="visible" r:id="rId48"/>
    <sheet name="1PC039" sheetId="49" state="visible" r:id="rId49"/>
    <sheet name="1PC04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1ADP052</t>
        </is>
      </c>
    </row>
    <row r="4">
      <c r="A4" s="1" t="inlineStr">
        <is>
          <t>ROLLUP #</t>
        </is>
      </c>
      <c r="B4" t="inlineStr">
        <is>
          <t>713039</t>
        </is>
      </c>
    </row>
    <row r="5">
      <c r="A5" s="1" t="inlineStr">
        <is>
          <t>PROJECT NAME</t>
        </is>
      </c>
      <c r="B5" t="inlineStr">
        <is>
          <t>Project 52 - NASA Development of Flexible Multi-Sensor Device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65069.59</v>
      </c>
      <c r="AE18" s="10">
        <f>SUM(C18:AD18)</f>
        <v/>
      </c>
    </row>
    <row r="19">
      <c r="B19" t="inlineStr">
        <is>
          <t>Fringe 5990</t>
        </is>
      </c>
      <c r="F19" s="2" t="n">
        <v>27055.94</v>
      </c>
      <c r="AE19" s="10">
        <f>SUM(C19:AD19)</f>
        <v/>
      </c>
    </row>
    <row r="20">
      <c r="B20" t="inlineStr">
        <is>
          <t>Travel 5004</t>
        </is>
      </c>
      <c r="F20" s="2" t="n">
        <v>848.15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2050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91.78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25749.52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1ADP053</t>
        </is>
      </c>
    </row>
    <row r="4">
      <c r="A4" s="1" t="inlineStr">
        <is>
          <t>ROLLUP #</t>
        </is>
      </c>
      <c r="B4" t="inlineStr">
        <is>
          <t>713044</t>
        </is>
      </c>
    </row>
    <row r="5">
      <c r="A5" s="1" t="inlineStr">
        <is>
          <t>PROJECT NAME</t>
        </is>
      </c>
      <c r="B5" t="inlineStr">
        <is>
          <t>Project 53 - CCDC-ARL Land Environment Laser Awareness Detection (LELAND)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86006.62</v>
      </c>
      <c r="J29" s="2" t="n">
        <v>106291.63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1ADP054</t>
        </is>
      </c>
    </row>
    <row r="4">
      <c r="A4" s="1" t="inlineStr">
        <is>
          <t>ROLLUP #</t>
        </is>
      </c>
      <c r="B4" t="inlineStr">
        <is>
          <t>713045</t>
        </is>
      </c>
    </row>
    <row r="5">
      <c r="A5" s="1" t="inlineStr">
        <is>
          <t>PROJECT NAME</t>
        </is>
      </c>
      <c r="B5" t="inlineStr">
        <is>
          <t>Project 54 - OUSD(I) EA&amp;M Team (Follow-on Project 50)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93283.2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1ADP055</t>
        </is>
      </c>
    </row>
    <row r="4">
      <c r="A4" s="1" t="inlineStr">
        <is>
          <t>ROLLUP #</t>
        </is>
      </c>
      <c r="B4" t="inlineStr">
        <is>
          <t>713046</t>
        </is>
      </c>
    </row>
    <row r="5">
      <c r="A5" s="1" t="inlineStr">
        <is>
          <t>PROJECT NAME</t>
        </is>
      </c>
      <c r="B5" t="inlineStr">
        <is>
          <t>Project 55 - OUSD NASIC FME Civilian Collaboration Framework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105465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1ADP056</t>
        </is>
      </c>
    </row>
    <row r="4">
      <c r="A4" s="1" t="inlineStr">
        <is>
          <t>ROLLUP #</t>
        </is>
      </c>
      <c r="B4" t="inlineStr">
        <is>
          <t>713047</t>
        </is>
      </c>
    </row>
    <row r="5">
      <c r="A5" s="1" t="inlineStr">
        <is>
          <t>PROJECT NAME</t>
        </is>
      </c>
      <c r="B5" t="inlineStr">
        <is>
          <t>Project 56 - NSIN Civil Military Collab oration Initiative (Follow-On ADP#50)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106650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1ADP057</t>
        </is>
      </c>
    </row>
    <row r="4">
      <c r="A4" s="1" t="inlineStr">
        <is>
          <t>ROLLUP #</t>
        </is>
      </c>
      <c r="B4" t="inlineStr">
        <is>
          <t>713054</t>
        </is>
      </c>
    </row>
    <row r="5">
      <c r="A5" s="1" t="inlineStr">
        <is>
          <t>PROJECT NAME</t>
        </is>
      </c>
      <c r="B5" t="inlineStr">
        <is>
          <t>Project 57 - OUSD (RE) Mantech Flexible X-Ray Image  Digital Deterctor Arrays (DDA) - Phase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573.54</v>
      </c>
      <c r="J18" s="2" t="n">
        <v>3605.3</v>
      </c>
      <c r="AE18" s="10">
        <f>SUM(C18:AD18)</f>
        <v/>
      </c>
    </row>
    <row r="19">
      <c r="B19" t="inlineStr">
        <is>
          <t>Fringe 5990</t>
        </is>
      </c>
      <c r="F19" s="2" t="n">
        <v>238.48</v>
      </c>
      <c r="J19" s="2" t="n">
        <v>1423.01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192.45</v>
      </c>
      <c r="J29" s="2" t="n">
        <v>451286.56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1ADP058</t>
        </is>
      </c>
    </row>
    <row r="4">
      <c r="A4" s="1" t="inlineStr">
        <is>
          <t>ROLLUP #</t>
        </is>
      </c>
      <c r="B4" t="inlineStr">
        <is>
          <t>713051</t>
        </is>
      </c>
    </row>
    <row r="5">
      <c r="A5" s="1" t="inlineStr">
        <is>
          <t>PROJECT NAME</t>
        </is>
      </c>
      <c r="B5" t="inlineStr">
        <is>
          <t>Project 58 - DMEA Strategic Innovation Project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196710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1ADP059</t>
        </is>
      </c>
    </row>
    <row r="4">
      <c r="A4" s="1" t="inlineStr">
        <is>
          <t>ROLLUP #</t>
        </is>
      </c>
      <c r="B4" t="inlineStr">
        <is>
          <t>713050</t>
        </is>
      </c>
    </row>
    <row r="5">
      <c r="A5" s="1" t="inlineStr">
        <is>
          <t>PROJECT NAME</t>
        </is>
      </c>
      <c r="B5" t="inlineStr">
        <is>
          <t>Project 59 - DTRA Flexible Scintillators X-Ray Imagers (Follow -on Project #7)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615.72</v>
      </c>
      <c r="AE18" s="10">
        <f>SUM(C18:AD18)</f>
        <v/>
      </c>
    </row>
    <row r="19">
      <c r="B19" t="inlineStr">
        <is>
          <t>Fringe 5990</t>
        </is>
      </c>
      <c r="N19" s="2" t="n">
        <v>264.27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8783.219999999999</v>
      </c>
      <c r="J29" s="2" t="n">
        <v>81090</v>
      </c>
      <c r="N29" s="2" t="n">
        <v>1136.42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1ADP060</t>
        </is>
      </c>
    </row>
    <row r="4">
      <c r="A4" s="1" t="inlineStr">
        <is>
          <t>ROLLUP #</t>
        </is>
      </c>
      <c r="B4" t="inlineStr">
        <is>
          <t>713048</t>
        </is>
      </c>
    </row>
    <row r="5">
      <c r="A5" s="1" t="inlineStr">
        <is>
          <t>PROJECT NAME</t>
        </is>
      </c>
      <c r="B5" t="inlineStr">
        <is>
          <t>Project 60 - AFRL Solutions for Fatigue Sensing &amp; Mitigation in Aerospace Environment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14432.34</v>
      </c>
      <c r="AE18" s="10">
        <f>SUM(C18:AD18)</f>
        <v/>
      </c>
    </row>
    <row r="19">
      <c r="B19" t="inlineStr">
        <is>
          <t>Fringe 5990</t>
        </is>
      </c>
      <c r="F19" s="2" t="n">
        <v>6000.97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9300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7046.79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1ADP061</t>
        </is>
      </c>
    </row>
    <row r="4">
      <c r="A4" s="1" t="inlineStr">
        <is>
          <t>ROLLUP #</t>
        </is>
      </c>
      <c r="B4" t="inlineStr">
        <is>
          <t>713052</t>
        </is>
      </c>
    </row>
    <row r="5">
      <c r="A5" s="1" t="inlineStr">
        <is>
          <t>PROJECT NAME</t>
        </is>
      </c>
      <c r="B5" t="inlineStr">
        <is>
          <t>Project 61 - C5ISR - Y20 Soldier Authentication Project Prototype 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171739.75</v>
      </c>
      <c r="J18" s="2" t="n">
        <v>261817.86</v>
      </c>
      <c r="N18" s="2" t="n">
        <v>20305.62</v>
      </c>
      <c r="AE18" s="10">
        <f>SUM(C18:AD18)</f>
        <v/>
      </c>
    </row>
    <row r="19">
      <c r="B19" t="inlineStr">
        <is>
          <t>Fringe 5990</t>
        </is>
      </c>
      <c r="F19" s="2" t="n">
        <v>71409.39</v>
      </c>
      <c r="J19" s="2" t="n">
        <v>103339.51</v>
      </c>
      <c r="N19" s="2" t="n">
        <v>8715.17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60425.59</v>
      </c>
      <c r="J29" s="2" t="n">
        <v>232339.18</v>
      </c>
      <c r="N29" s="2" t="n">
        <v>37477.44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1PC001</t>
        </is>
      </c>
    </row>
    <row r="4">
      <c r="A4" s="1" t="inlineStr">
        <is>
          <t>ROLLUP #</t>
        </is>
      </c>
      <c r="B4" t="inlineStr">
        <is>
          <t>700001</t>
        </is>
      </c>
    </row>
    <row r="5">
      <c r="A5" s="1" t="inlineStr">
        <is>
          <t>PROJECT NAME</t>
        </is>
      </c>
      <c r="B5" t="inlineStr">
        <is>
          <t>PC 0 IQM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173927.07+C30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1PC002</t>
        </is>
      </c>
    </row>
    <row r="4">
      <c r="A4" s="1" t="inlineStr">
        <is>
          <t>ROLLUP #</t>
        </is>
      </c>
      <c r="B4" t="inlineStr">
        <is>
          <t>710001</t>
        </is>
      </c>
    </row>
    <row r="5">
      <c r="A5" s="1" t="inlineStr">
        <is>
          <t>PROJECT NAME</t>
        </is>
      </c>
      <c r="B5" t="inlineStr">
        <is>
          <t>PC 1 Cal Poly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162276.91+C30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1PC003</t>
        </is>
      </c>
    </row>
    <row r="4">
      <c r="A4" s="1" t="inlineStr">
        <is>
          <t>ROLLUP #</t>
        </is>
      </c>
      <c r="B4" t="inlineStr">
        <is>
          <t>710002</t>
        </is>
      </c>
    </row>
    <row r="5">
      <c r="A5" s="1" t="inlineStr">
        <is>
          <t>PROJECT NAME</t>
        </is>
      </c>
      <c r="B5" t="inlineStr">
        <is>
          <t>PC 1 Binghamton Univ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648942.46+C30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1PC004</t>
        </is>
      </c>
    </row>
    <row r="4">
      <c r="A4" s="1" t="inlineStr">
        <is>
          <t>ROLLUP #</t>
        </is>
      </c>
      <c r="B4" t="inlineStr">
        <is>
          <t>710003</t>
        </is>
      </c>
    </row>
    <row r="5">
      <c r="A5" s="1" t="inlineStr">
        <is>
          <t>PROJECT NAME</t>
        </is>
      </c>
      <c r="B5" t="inlineStr">
        <is>
          <t>PC 1 Univ of MA Amherst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25918.33+C30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1PC005</t>
        </is>
      </c>
    </row>
    <row r="4">
      <c r="A4" s="1" t="inlineStr">
        <is>
          <t>ROLLUP #</t>
        </is>
      </c>
      <c r="B4" t="inlineStr">
        <is>
          <t>710004</t>
        </is>
      </c>
    </row>
    <row r="5">
      <c r="A5" s="1" t="inlineStr">
        <is>
          <t>PROJECT NAME</t>
        </is>
      </c>
      <c r="B5" t="inlineStr">
        <is>
          <t>PC 1 Univ of MA Lowell PC 1.0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315492.53+C30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1PC006</t>
        </is>
      </c>
    </row>
    <row r="4">
      <c r="A4" s="1" t="inlineStr">
        <is>
          <t>ROLLUP #</t>
        </is>
      </c>
      <c r="B4" t="inlineStr">
        <is>
          <t>710005</t>
        </is>
      </c>
    </row>
    <row r="5">
      <c r="A5" s="1" t="inlineStr">
        <is>
          <t>PROJECT NAME</t>
        </is>
      </c>
      <c r="B5" t="inlineStr">
        <is>
          <t>PC 1 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16943.88+C30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1PC007</t>
        </is>
      </c>
    </row>
    <row r="4">
      <c r="A4" s="1" t="inlineStr">
        <is>
          <t>ROLLUP #</t>
        </is>
      </c>
      <c r="B4" t="inlineStr">
        <is>
          <t>710006</t>
        </is>
      </c>
    </row>
    <row r="5">
      <c r="A5" s="1" t="inlineStr">
        <is>
          <t>PROJECT NAME</t>
        </is>
      </c>
      <c r="B5" t="inlineStr">
        <is>
          <t>PC 1 PARC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218687.26+C30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1PC008</t>
        </is>
      </c>
    </row>
    <row r="4">
      <c r="A4" s="1" t="inlineStr">
        <is>
          <t>ROLLUP #</t>
        </is>
      </c>
      <c r="B4" t="inlineStr">
        <is>
          <t>710007</t>
        </is>
      </c>
    </row>
    <row r="5">
      <c r="A5" s="1" t="inlineStr">
        <is>
          <t>PROJECT NAME</t>
        </is>
      </c>
      <c r="B5" t="inlineStr">
        <is>
          <t>PC 1 Purdue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314488.36+C30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1PC009</t>
        </is>
      </c>
    </row>
    <row r="4">
      <c r="A4" s="1" t="inlineStr">
        <is>
          <t>ROLLUP #</t>
        </is>
      </c>
      <c r="B4" t="inlineStr">
        <is>
          <t>710008</t>
        </is>
      </c>
    </row>
    <row r="5">
      <c r="A5" s="1" t="inlineStr">
        <is>
          <t>PROJECT NAME</t>
        </is>
      </c>
      <c r="B5" t="inlineStr">
        <is>
          <t>PC 1 UC Berkeley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532.07+C30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1PC010</t>
        </is>
      </c>
    </row>
    <row r="4">
      <c r="A4" s="1" t="inlineStr">
        <is>
          <t>ROLLUP #</t>
        </is>
      </c>
      <c r="B4" t="inlineStr">
        <is>
          <t>710009</t>
        </is>
      </c>
    </row>
    <row r="5">
      <c r="A5" s="1" t="inlineStr">
        <is>
          <t>PROJECT NAME</t>
        </is>
      </c>
      <c r="B5" t="inlineStr">
        <is>
          <t>PC 2 Uniqarta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126097.07+C30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1PC011</t>
        </is>
      </c>
    </row>
    <row r="4">
      <c r="A4" s="1" t="inlineStr">
        <is>
          <t>ROLLUP #</t>
        </is>
      </c>
      <c r="B4" t="inlineStr">
        <is>
          <t>710010</t>
        </is>
      </c>
    </row>
    <row r="5">
      <c r="A5" s="1" t="inlineStr">
        <is>
          <t>PROJECT NAME</t>
        </is>
      </c>
      <c r="B5" t="inlineStr">
        <is>
          <t>PC 2 Universal Instruments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161320.7</v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247736.59+C30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1PC012</t>
        </is>
      </c>
    </row>
    <row r="4">
      <c r="A4" s="1" t="inlineStr">
        <is>
          <t>ROLLUP #</t>
        </is>
      </c>
      <c r="B4" t="inlineStr">
        <is>
          <t>710011</t>
        </is>
      </c>
    </row>
    <row r="5">
      <c r="A5" s="1" t="inlineStr">
        <is>
          <t>PROJECT NAME</t>
        </is>
      </c>
      <c r="B5" t="inlineStr">
        <is>
          <t>PC 2 Meyer Burger US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636803.5+C30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1PC013</t>
        </is>
      </c>
    </row>
    <row r="4">
      <c r="A4" s="1" t="inlineStr">
        <is>
          <t>ROLLUP #</t>
        </is>
      </c>
      <c r="B4" t="inlineStr">
        <is>
          <t>710012</t>
        </is>
      </c>
    </row>
    <row r="5">
      <c r="A5" s="1" t="inlineStr">
        <is>
          <t>PROJECT NAME</t>
        </is>
      </c>
      <c r="B5" t="inlineStr">
        <is>
          <t>PC 2 Sensor Films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784141.6+C30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1PC014</t>
        </is>
      </c>
    </row>
    <row r="4">
      <c r="A4" s="1" t="inlineStr">
        <is>
          <t>ROLLUP #</t>
        </is>
      </c>
      <c r="B4" t="inlineStr">
        <is>
          <t>710013</t>
        </is>
      </c>
    </row>
    <row r="5">
      <c r="A5" s="1" t="inlineStr">
        <is>
          <t>PROJECT NAME</t>
        </is>
      </c>
      <c r="B5" t="inlineStr">
        <is>
          <t>PC 2 Boeing 2.3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233752.21+C30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1PC015</t>
        </is>
      </c>
    </row>
    <row r="4">
      <c r="A4" s="1" t="inlineStr">
        <is>
          <t>ROLLUP #</t>
        </is>
      </c>
      <c r="B4" t="inlineStr">
        <is>
          <t>710014</t>
        </is>
      </c>
    </row>
    <row r="5">
      <c r="A5" s="1" t="inlineStr">
        <is>
          <t>PROJECT NAME</t>
        </is>
      </c>
      <c r="B5" t="inlineStr">
        <is>
          <t>PC 2 Lockheed Martin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388501.4+C30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1PC016</t>
        </is>
      </c>
    </row>
    <row r="4">
      <c r="A4" s="1" t="inlineStr">
        <is>
          <t>ROLLUP #</t>
        </is>
      </c>
      <c r="B4" t="inlineStr">
        <is>
          <t>710015</t>
        </is>
      </c>
    </row>
    <row r="5">
      <c r="A5" s="1" t="inlineStr">
        <is>
          <t>PROJECT NAME</t>
        </is>
      </c>
      <c r="B5" t="inlineStr">
        <is>
          <t>PC 2 Hewlett Packard Labs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1PC017</t>
        </is>
      </c>
    </row>
    <row r="4">
      <c r="A4" s="1" t="inlineStr">
        <is>
          <t>ROLLUP #</t>
        </is>
      </c>
      <c r="B4" t="inlineStr">
        <is>
          <t>710016</t>
        </is>
      </c>
    </row>
    <row r="5">
      <c r="A5" s="1" t="inlineStr">
        <is>
          <t>PROJECT NAME</t>
        </is>
      </c>
      <c r="B5" t="inlineStr">
        <is>
          <t>PC 2 Georgia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23089.9+C30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1PC018</t>
        </is>
      </c>
    </row>
    <row r="4">
      <c r="A4" s="1" t="inlineStr">
        <is>
          <t>ROLLUP #</t>
        </is>
      </c>
      <c r="B4" t="inlineStr">
        <is>
          <t>710017</t>
        </is>
      </c>
    </row>
    <row r="5">
      <c r="A5" s="1" t="inlineStr">
        <is>
          <t>PROJECT NAME</t>
        </is>
      </c>
      <c r="B5" t="inlineStr">
        <is>
          <t>PC 2 U of Mass Lowell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19919.81+C30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1PC019</t>
        </is>
      </c>
    </row>
    <row r="4">
      <c r="A4" s="1" t="inlineStr">
        <is>
          <t>ROLLUP #</t>
        </is>
      </c>
      <c r="B4" t="inlineStr">
        <is>
          <t>710018</t>
        </is>
      </c>
    </row>
    <row r="5">
      <c r="A5" s="1" t="inlineStr">
        <is>
          <t>PROJECT NAME</t>
        </is>
      </c>
      <c r="B5" t="inlineStr">
        <is>
          <t>PC 2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1PC020</t>
        </is>
      </c>
    </row>
    <row r="4">
      <c r="A4" s="1" t="inlineStr">
        <is>
          <t>ROLLUP #</t>
        </is>
      </c>
      <c r="B4" t="inlineStr">
        <is>
          <t>710019</t>
        </is>
      </c>
    </row>
    <row r="5">
      <c r="A5" s="1" t="inlineStr">
        <is>
          <t>PROJECT NAME</t>
        </is>
      </c>
      <c r="B5" t="inlineStr">
        <is>
          <t>PC 2 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167801.0+C30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1PC021</t>
        </is>
      </c>
    </row>
    <row r="4">
      <c r="A4" s="1" t="inlineStr">
        <is>
          <t>ROLLUP #</t>
        </is>
      </c>
      <c r="B4" t="inlineStr">
        <is>
          <t>710020</t>
        </is>
      </c>
    </row>
    <row r="5">
      <c r="A5" s="1" t="inlineStr">
        <is>
          <t>PROJECT NAME</t>
        </is>
      </c>
      <c r="B5" t="inlineStr">
        <is>
          <t>PC 2 Boeing 2.6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169040.19+C30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1PC022</t>
        </is>
      </c>
    </row>
    <row r="4">
      <c r="A4" s="1" t="inlineStr">
        <is>
          <t>ROLLUP #</t>
        </is>
      </c>
      <c r="B4" t="inlineStr">
        <is>
          <t>710021</t>
        </is>
      </c>
    </row>
    <row r="5">
      <c r="A5" s="1" t="inlineStr">
        <is>
          <t>PROJECT NAME</t>
        </is>
      </c>
      <c r="B5" t="inlineStr">
        <is>
          <t>PC 2 American Semiconductor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88940.5+C30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1PC023</t>
        </is>
      </c>
    </row>
    <row r="4">
      <c r="A4" s="1" t="inlineStr">
        <is>
          <t>ROLLUP #</t>
        </is>
      </c>
      <c r="B4" t="inlineStr">
        <is>
          <t>710022</t>
        </is>
      </c>
    </row>
    <row r="5">
      <c r="A5" s="1" t="inlineStr">
        <is>
          <t>PROJECT NAME</t>
        </is>
      </c>
      <c r="B5" t="inlineStr">
        <is>
          <t>PC 2 Purdue Univ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32109.3+C30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1PC024</t>
        </is>
      </c>
    </row>
    <row r="4">
      <c r="A4" s="1" t="inlineStr">
        <is>
          <t>ROLLUP #</t>
        </is>
      </c>
      <c r="B4" t="inlineStr">
        <is>
          <t>710023</t>
        </is>
      </c>
    </row>
    <row r="5">
      <c r="A5" s="1" t="inlineStr">
        <is>
          <t>PROJECT NAME</t>
        </is>
      </c>
      <c r="B5" t="inlineStr">
        <is>
          <t>PC 2 Binghamton Univ Proj 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109786.65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276922.58+C30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1PC025</t>
        </is>
      </c>
    </row>
    <row r="4">
      <c r="A4" s="1" t="inlineStr">
        <is>
          <t>ROLLUP #</t>
        </is>
      </c>
      <c r="B4" t="inlineStr">
        <is>
          <t>710024</t>
        </is>
      </c>
    </row>
    <row r="5">
      <c r="A5" s="1" t="inlineStr">
        <is>
          <t>PROJECT NAME</t>
        </is>
      </c>
      <c r="B5" t="inlineStr">
        <is>
          <t>PC 2 Lorain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31694.14+C30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1PC026</t>
        </is>
      </c>
    </row>
    <row r="4">
      <c r="A4" s="1" t="inlineStr">
        <is>
          <t>ROLLUP #</t>
        </is>
      </c>
      <c r="B4" t="inlineStr">
        <is>
          <t>710025</t>
        </is>
      </c>
    </row>
    <row r="5">
      <c r="A5" s="1" t="inlineStr">
        <is>
          <t>PROJECT NAME</t>
        </is>
      </c>
      <c r="B5" t="inlineStr">
        <is>
          <t>PC 3 Lockheed Martin 3.1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1PC027</t>
        </is>
      </c>
    </row>
    <row r="4">
      <c r="A4" s="1" t="inlineStr">
        <is>
          <t>ROLLUP #</t>
        </is>
      </c>
      <c r="B4" t="inlineStr">
        <is>
          <t>710026</t>
        </is>
      </c>
    </row>
    <row r="5">
      <c r="A5" s="1" t="inlineStr">
        <is>
          <t>PROJECT NAME</t>
        </is>
      </c>
      <c r="B5" t="inlineStr">
        <is>
          <t>PC 3 Boeing PPFHE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1PC028</t>
        </is>
      </c>
    </row>
    <row r="4">
      <c r="A4" s="1" t="inlineStr">
        <is>
          <t>ROLLUP #</t>
        </is>
      </c>
      <c r="B4" t="inlineStr">
        <is>
          <t>710027</t>
        </is>
      </c>
    </row>
    <row r="5">
      <c r="A5" s="1" t="inlineStr">
        <is>
          <t>PROJECT NAME</t>
        </is>
      </c>
      <c r="B5" t="inlineStr">
        <is>
          <t>PC 3 MicroConnex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1PC029</t>
        </is>
      </c>
    </row>
    <row r="4">
      <c r="A4" s="1" t="inlineStr">
        <is>
          <t>ROLLUP #</t>
        </is>
      </c>
      <c r="B4" t="inlineStr">
        <is>
          <t>710028</t>
        </is>
      </c>
    </row>
    <row r="5">
      <c r="A5" s="1" t="inlineStr">
        <is>
          <t>PROJECT NAME</t>
        </is>
      </c>
      <c r="B5" t="inlineStr">
        <is>
          <t>PC 3 Boeing CMSA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1PC030</t>
        </is>
      </c>
    </row>
    <row r="4">
      <c r="A4" s="1" t="inlineStr">
        <is>
          <t>ROLLUP #</t>
        </is>
      </c>
      <c r="B4" t="inlineStr">
        <is>
          <t>710029</t>
        </is>
      </c>
    </row>
    <row r="5">
      <c r="A5" s="1" t="inlineStr">
        <is>
          <t>PROJECT NAME</t>
        </is>
      </c>
      <c r="B5" t="inlineStr">
        <is>
          <t>PC 3 GA Tech Lkheed Martin 3.6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-2.54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1PC031</t>
        </is>
      </c>
    </row>
    <row r="4">
      <c r="A4" s="1" t="inlineStr">
        <is>
          <t>ROLLUP #</t>
        </is>
      </c>
      <c r="B4" t="inlineStr">
        <is>
          <t>710030</t>
        </is>
      </c>
    </row>
    <row r="5">
      <c r="A5" s="1" t="inlineStr">
        <is>
          <t>PROJECT NAME</t>
        </is>
      </c>
      <c r="B5" t="inlineStr">
        <is>
          <t>PC 3 Binghamton Univ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2245.62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1PC032</t>
        </is>
      </c>
    </row>
    <row r="4">
      <c r="A4" s="1" t="inlineStr">
        <is>
          <t>ROLLUP #</t>
        </is>
      </c>
      <c r="B4" t="inlineStr">
        <is>
          <t>710030B</t>
        </is>
      </c>
    </row>
    <row r="5">
      <c r="A5" s="1" t="inlineStr">
        <is>
          <t>PROJECT NAME</t>
        </is>
      </c>
      <c r="B5" t="inlineStr">
        <is>
          <t>Binghamton Univ.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1PC033</t>
        </is>
      </c>
    </row>
    <row r="4">
      <c r="A4" s="1" t="inlineStr">
        <is>
          <t>ROLLUP #</t>
        </is>
      </c>
      <c r="B4" t="inlineStr">
        <is>
          <t>710031</t>
        </is>
      </c>
    </row>
    <row r="5">
      <c r="A5" s="1" t="inlineStr">
        <is>
          <t>PROJECT NAME</t>
        </is>
      </c>
      <c r="B5" t="inlineStr">
        <is>
          <t>PC 3 Epicore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1PC034</t>
        </is>
      </c>
    </row>
    <row r="4">
      <c r="A4" s="1" t="inlineStr">
        <is>
          <t>ROLLUP #</t>
        </is>
      </c>
      <c r="B4" t="inlineStr">
        <is>
          <t>710032</t>
        </is>
      </c>
    </row>
    <row r="5">
      <c r="A5" s="1" t="inlineStr">
        <is>
          <t>PROJECT NAME</t>
        </is>
      </c>
      <c r="B5" t="inlineStr">
        <is>
          <t>PC 4 Flex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598.49</v>
      </c>
      <c r="J18" s="2" t="n">
        <v>2142.44</v>
      </c>
      <c r="AE18" s="10">
        <f>SUM(C18:AD18)</f>
        <v/>
      </c>
    </row>
    <row r="19">
      <c r="B19" t="inlineStr">
        <is>
          <t>Fringe 5990</t>
        </is>
      </c>
      <c r="F19" s="2" t="n">
        <v>248.85</v>
      </c>
      <c r="J19" s="2" t="n">
        <v>845.62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5000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1385.82</v>
      </c>
      <c r="J29" s="2" t="n">
        <v>1615.35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1PC035</t>
        </is>
      </c>
    </row>
    <row r="4">
      <c r="A4" s="1" t="inlineStr">
        <is>
          <t>ROLLUP #</t>
        </is>
      </c>
      <c r="B4" t="inlineStr">
        <is>
          <t>710033</t>
        </is>
      </c>
    </row>
    <row r="5">
      <c r="A5" s="1" t="inlineStr">
        <is>
          <t>PROJECT NAME</t>
        </is>
      </c>
      <c r="B5" t="inlineStr">
        <is>
          <t>PC 4 UML Eastman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6770.7</v>
      </c>
      <c r="J18" s="2" t="n">
        <v>797.6900000000001</v>
      </c>
      <c r="AE18" s="10">
        <f>SUM(C18:AD18)</f>
        <v/>
      </c>
    </row>
    <row r="19">
      <c r="B19" t="inlineStr">
        <is>
          <t>Fringe 5990</t>
        </is>
      </c>
      <c r="F19" s="2" t="n">
        <v>2815.26</v>
      </c>
      <c r="J19" s="2" t="n">
        <v>314.85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2271.87</v>
      </c>
      <c r="J29" s="2" t="n">
        <v>601.4400000000001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1PC036</t>
        </is>
      </c>
    </row>
    <row r="4">
      <c r="A4" s="1" t="inlineStr">
        <is>
          <t>ROLLUP #</t>
        </is>
      </c>
      <c r="B4" t="inlineStr">
        <is>
          <t>710035</t>
        </is>
      </c>
    </row>
    <row r="5">
      <c r="A5" s="1" t="inlineStr">
        <is>
          <t>PROJECT NAME</t>
        </is>
      </c>
      <c r="B5" t="inlineStr">
        <is>
          <t>PC 4 Boeing 4.5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1PC037</t>
        </is>
      </c>
    </row>
    <row r="4">
      <c r="A4" s="1" t="inlineStr">
        <is>
          <t>ROLLUP #</t>
        </is>
      </c>
      <c r="B4" t="inlineStr">
        <is>
          <t>710036</t>
        </is>
      </c>
    </row>
    <row r="5">
      <c r="A5" s="1" t="inlineStr">
        <is>
          <t>PROJECT NAME</t>
        </is>
      </c>
      <c r="B5" t="inlineStr">
        <is>
          <t>PC 4 Boeing 4.7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-1600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-2066.24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1PC038</t>
        </is>
      </c>
    </row>
    <row r="4">
      <c r="A4" s="1" t="inlineStr">
        <is>
          <t>ROLLUP #</t>
        </is>
      </c>
      <c r="B4" t="inlineStr">
        <is>
          <t>710037</t>
        </is>
      </c>
    </row>
    <row r="5">
      <c r="A5" s="1" t="inlineStr">
        <is>
          <t>PROJECT NAME</t>
        </is>
      </c>
      <c r="B5" t="inlineStr">
        <is>
          <t>PC 4 GE Global 4.8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1PC039</t>
        </is>
      </c>
    </row>
    <row r="4">
      <c r="A4" s="1" t="inlineStr">
        <is>
          <t>ROLLUP #</t>
        </is>
      </c>
      <c r="B4" t="inlineStr">
        <is>
          <t>710038</t>
        </is>
      </c>
    </row>
    <row r="5">
      <c r="A5" s="1" t="inlineStr">
        <is>
          <t>PROJECT NAME</t>
        </is>
      </c>
      <c r="B5" t="inlineStr">
        <is>
          <t>PC 4 Boeing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1PC040</t>
        </is>
      </c>
    </row>
    <row r="4">
      <c r="A4" s="1" t="inlineStr">
        <is>
          <t>ROLLUP #</t>
        </is>
      </c>
      <c r="B4" t="inlineStr">
        <is>
          <t>710039</t>
        </is>
      </c>
    </row>
    <row r="5">
      <c r="A5" s="1" t="inlineStr">
        <is>
          <t>PROJECT NAME</t>
        </is>
      </c>
      <c r="B5" t="inlineStr">
        <is>
          <t>PC 4 Lockheed Martin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2026-04-27T13:00:07Z</dcterms:created>
  <dcterms:modified xsi:type="dcterms:W3CDTF">2026-04-27T15:05:25Z</dcterms:modified>
</cp:coreProperties>
</file>