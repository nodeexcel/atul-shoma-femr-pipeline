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drawings/drawing15.xml" ContentType="application/vnd.openxmlformats-officedocument.drawing+xml"/>
  <Override PartName="/xl/worksheets/sheet16.xml" ContentType="application/vnd.openxmlformats-officedocument.spreadsheetml.worksheet+xml"/>
  <Override PartName="/xl/drawings/drawing16.xml" ContentType="application/vnd.openxmlformats-officedocument.drawing+xml"/>
  <Override PartName="/xl/worksheets/sheet17.xml" ContentType="application/vnd.openxmlformats-officedocument.spreadsheetml.worksheet+xml"/>
  <Override PartName="/xl/drawings/drawing17.xml" ContentType="application/vnd.openxmlformats-officedocument.drawing+xml"/>
  <Override PartName="/xl/worksheets/sheet18.xml" ContentType="application/vnd.openxmlformats-officedocument.spreadsheetml.worksheet+xml"/>
  <Override PartName="/xl/drawings/drawing18.xml" ContentType="application/vnd.openxmlformats-officedocument.drawing+xml"/>
  <Override PartName="/xl/worksheets/sheet19.xml" ContentType="application/vnd.openxmlformats-officedocument.spreadsheetml.worksheet+xml"/>
  <Override PartName="/xl/drawings/drawing19.xml" ContentType="application/vnd.openxmlformats-officedocument.drawing+xml"/>
  <Override PartName="/xl/worksheets/sheet20.xml" ContentType="application/vnd.openxmlformats-officedocument.spreadsheetml.worksheet+xml"/>
  <Override PartName="/xl/drawings/drawing20.xml" ContentType="application/vnd.openxmlformats-officedocument.drawing+xml"/>
  <Override PartName="/xl/worksheets/sheet21.xml" ContentType="application/vnd.openxmlformats-officedocument.spreadsheetml.worksheet+xml"/>
  <Override PartName="/xl/drawings/drawing21.xml" ContentType="application/vnd.openxmlformats-officedocument.drawing+xml"/>
  <Override PartName="/xl/worksheets/sheet22.xml" ContentType="application/vnd.openxmlformats-officedocument.spreadsheetml.worksheet+xml"/>
  <Override PartName="/xl/drawings/drawing22.xml" ContentType="application/vnd.openxmlformats-officedocument.drawing+xml"/>
  <Override PartName="/xl/worksheets/sheet23.xml" ContentType="application/vnd.openxmlformats-officedocument.spreadsheetml.worksheet+xml"/>
  <Override PartName="/xl/drawings/drawing23.xml" ContentType="application/vnd.openxmlformats-officedocument.drawing+xml"/>
  <Override PartName="/xl/worksheets/sheet24.xml" ContentType="application/vnd.openxmlformats-officedocument.spreadsheetml.worksheet+xml"/>
  <Override PartName="/xl/drawings/drawing24.xml" ContentType="application/vnd.openxmlformats-officedocument.drawing+xml"/>
  <Override PartName="/xl/worksheets/sheet25.xml" ContentType="application/vnd.openxmlformats-officedocument.spreadsheetml.worksheet+xml"/>
  <Override PartName="/xl/drawings/drawing25.xml" ContentType="application/vnd.openxmlformats-officedocument.drawing+xml"/>
  <Override PartName="/xl/worksheets/sheet26.xml" ContentType="application/vnd.openxmlformats-officedocument.spreadsheetml.worksheet+xml"/>
  <Override PartName="/xl/drawings/drawing26.xml" ContentType="application/vnd.openxmlformats-officedocument.drawing+xml"/>
  <Override PartName="/xl/worksheets/sheet27.xml" ContentType="application/vnd.openxmlformats-officedocument.spreadsheetml.worksheet+xml"/>
  <Override PartName="/xl/drawings/drawing2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WD001" sheetId="1" state="visible" r:id="rId1"/>
    <sheet name="EWD002" sheetId="2" state="visible" r:id="rId2"/>
    <sheet name="EWD003" sheetId="3" state="visible" r:id="rId3"/>
    <sheet name="EWD004" sheetId="4" state="visible" r:id="rId4"/>
    <sheet name="EWD005" sheetId="5" state="visible" r:id="rId5"/>
    <sheet name="EWD006" sheetId="6" state="visible" r:id="rId6"/>
    <sheet name="EWD007" sheetId="7" state="visible" r:id="rId7"/>
    <sheet name="EWD008" sheetId="8" state="visible" r:id="rId8"/>
    <sheet name="EWD009" sheetId="9" state="visible" r:id="rId9"/>
    <sheet name="EWD010" sheetId="10" state="visible" r:id="rId10"/>
    <sheet name="EWD011" sheetId="11" state="visible" r:id="rId11"/>
    <sheet name="EWD012" sheetId="12" state="visible" r:id="rId12"/>
    <sheet name="EWD013" sheetId="13" state="visible" r:id="rId13"/>
    <sheet name="EWD015" sheetId="14" state="visible" r:id="rId14"/>
    <sheet name="EWD016" sheetId="15" state="visible" r:id="rId15"/>
    <sheet name="EWD017" sheetId="16" state="visible" r:id="rId16"/>
    <sheet name="EWD018" sheetId="17" state="visible" r:id="rId17"/>
    <sheet name="EWD019" sheetId="18" state="visible" r:id="rId18"/>
    <sheet name="EWD020" sheetId="19" state="visible" r:id="rId19"/>
    <sheet name="EWD021" sheetId="20" state="visible" r:id="rId20"/>
    <sheet name="EWD022" sheetId="21" state="visible" r:id="rId21"/>
    <sheet name="EWD023" sheetId="22" state="visible" r:id="rId22"/>
    <sheet name="EWD024" sheetId="23" state="visible" r:id="rId23"/>
    <sheet name="EWD025" sheetId="24" state="visible" r:id="rId24"/>
    <sheet name="EWD026" sheetId="25" state="visible" r:id="rId25"/>
    <sheet name="EWD027" sheetId="26" state="visible" r:id="rId26"/>
    <sheet name="EWD028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($* #,##0.00_);_($* (#,##0.00);_($* &quot;-&quot;??_);_(@_)"/>
  </numFmts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1FFB0"/>
      </patternFill>
    </fill>
    <fill>
      <patternFill patternType="solid">
        <fgColor rgb="00A3D1FF"/>
      </patternFill>
    </fill>
    <fill>
      <patternFill patternType="solid">
        <fgColor rgb="00F5F4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164" fontId="0" fillId="0" borderId="0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4" borderId="0" pivotButton="0" quotePrefix="0" xfId="0"/>
    <xf numFmtId="164" fontId="0" fillId="4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'EWD001'!$B$51:$AC$51</f>
            </numRef>
          </cat>
          <val>
            <numRef>
              <f>'EWD001'!$B$52:$AC$52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'EWD001'!$B$51:$AC$51</f>
            </numRef>
          </cat>
          <val>
            <numRef>
              <f>'EWD001'!$B$53:$AC$53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'EWD001'!$B$51:$AC$51</f>
            </numRef>
          </cat>
          <val>
            <numRef>
              <f>'EWD001'!$B$54:$AC$54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'EWD001'!$B$51:$AC$51</f>
            </numRef>
          </cat>
          <val>
            <numRef>
              <f>'EWD001'!$B$55:$AC$55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'EWD001'!$B$51:$AC$51</f>
            </numRef>
          </cat>
          <val>
            <numRef>
              <f>'EWD001'!$B$56:$AC$56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'EWD002'!$B$51:$AC$51</f>
            </numRef>
          </cat>
          <val>
            <numRef>
              <f>'EWD002'!$B$52:$AC$52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'EWD002'!$B$51:$AC$51</f>
            </numRef>
          </cat>
          <val>
            <numRef>
              <f>'EWD002'!$B$53:$AC$53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'EWD002'!$B$51:$AC$51</f>
            </numRef>
          </cat>
          <val>
            <numRef>
              <f>'EWD002'!$B$54:$AC$54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'EWD002'!$B$51:$AC$51</f>
            </numRef>
          </cat>
          <val>
            <numRef>
              <f>'EWD002'!$B$55:$AC$55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'EWD002'!$B$51:$AC$51</f>
            </numRef>
          </cat>
          <val>
            <numRef>
              <f>'EWD002'!$B$56:$AC$56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'EWD003'!$B$51:$AC$51</f>
            </numRef>
          </cat>
          <val>
            <numRef>
              <f>'EWD003'!$B$52:$AC$52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'EWD003'!$B$51:$AC$51</f>
            </numRef>
          </cat>
          <val>
            <numRef>
              <f>'EWD003'!$B$53:$AC$53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'EWD003'!$B$51:$AC$51</f>
            </numRef>
          </cat>
          <val>
            <numRef>
              <f>'EWD003'!$B$54:$AC$54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'EWD003'!$B$51:$AC$51</f>
            </numRef>
          </cat>
          <val>
            <numRef>
              <f>'EWD003'!$B$55:$AC$55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'EWD003'!$B$51:$AC$51</f>
            </numRef>
          </cat>
          <val>
            <numRef>
              <f>'EWD003'!$B$56:$AC$56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'EWD004'!$B$51:$AC$51</f>
            </numRef>
          </cat>
          <val>
            <numRef>
              <f>'EWD004'!$B$52:$AC$52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'EWD004'!$B$51:$AC$51</f>
            </numRef>
          </cat>
          <val>
            <numRef>
              <f>'EWD004'!$B$53:$AC$53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'EWD004'!$B$51:$AC$51</f>
            </numRef>
          </cat>
          <val>
            <numRef>
              <f>'EWD004'!$B$54:$AC$54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'EWD004'!$B$51:$AC$51</f>
            </numRef>
          </cat>
          <val>
            <numRef>
              <f>'EWD004'!$B$55:$AC$55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'EWD004'!$B$51:$AC$51</f>
            </numRef>
          </cat>
          <val>
            <numRef>
              <f>'EWD004'!$B$56:$AC$56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'EWD005'!$B$51:$AC$51</f>
            </numRef>
          </cat>
          <val>
            <numRef>
              <f>'EWD005'!$B$52:$AC$52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'EWD005'!$B$51:$AC$51</f>
            </numRef>
          </cat>
          <val>
            <numRef>
              <f>'EWD005'!$B$53:$AC$53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'EWD005'!$B$51:$AC$51</f>
            </numRef>
          </cat>
          <val>
            <numRef>
              <f>'EWD005'!$B$54:$AC$54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'EWD005'!$B$51:$AC$51</f>
            </numRef>
          </cat>
          <val>
            <numRef>
              <f>'EWD005'!$B$55:$AC$55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'EWD005'!$B$51:$AC$51</f>
            </numRef>
          </cat>
          <val>
            <numRef>
              <f>'EWD005'!$B$56:$AC$56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'EWD006'!$B$51:$AC$51</f>
            </numRef>
          </cat>
          <val>
            <numRef>
              <f>'EWD006'!$B$52:$AC$52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'EWD006'!$B$51:$AC$51</f>
            </numRef>
          </cat>
          <val>
            <numRef>
              <f>'EWD006'!$B$53:$AC$53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'EWD006'!$B$51:$AC$51</f>
            </numRef>
          </cat>
          <val>
            <numRef>
              <f>'EWD006'!$B$54:$AC$54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'EWD006'!$B$51:$AC$51</f>
            </numRef>
          </cat>
          <val>
            <numRef>
              <f>'EWD006'!$B$55:$AC$55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'EWD006'!$B$51:$AC$51</f>
            </numRef>
          </cat>
          <val>
            <numRef>
              <f>'EWD006'!$B$56:$AC$56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'EWD007'!$B$51:$AC$51</f>
            </numRef>
          </cat>
          <val>
            <numRef>
              <f>'EWD007'!$B$52:$AC$52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'EWD007'!$B$51:$AC$51</f>
            </numRef>
          </cat>
          <val>
            <numRef>
              <f>'EWD007'!$B$53:$AC$53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'EWD007'!$B$51:$AC$51</f>
            </numRef>
          </cat>
          <val>
            <numRef>
              <f>'EWD007'!$B$54:$AC$54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'EWD007'!$B$51:$AC$51</f>
            </numRef>
          </cat>
          <val>
            <numRef>
              <f>'EWD007'!$B$55:$AC$55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'EWD007'!$B$51:$AC$51</f>
            </numRef>
          </cat>
          <val>
            <numRef>
              <f>'EWD007'!$B$56:$AC$56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'EWD008'!$B$51:$AC$51</f>
            </numRef>
          </cat>
          <val>
            <numRef>
              <f>'EWD008'!$B$52:$AC$52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'EWD008'!$B$51:$AC$51</f>
            </numRef>
          </cat>
          <val>
            <numRef>
              <f>'EWD008'!$B$53:$AC$53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'EWD008'!$B$51:$AC$51</f>
            </numRef>
          </cat>
          <val>
            <numRef>
              <f>'EWD008'!$B$54:$AC$54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'EWD008'!$B$51:$AC$51</f>
            </numRef>
          </cat>
          <val>
            <numRef>
              <f>'EWD008'!$B$55:$AC$55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'EWD008'!$B$51:$AC$51</f>
            </numRef>
          </cat>
          <val>
            <numRef>
              <f>'EWD008'!$B$56:$AC$56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'EWD009'!$B$51:$AC$51</f>
            </numRef>
          </cat>
          <val>
            <numRef>
              <f>'EWD009'!$B$52:$AC$52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'EWD009'!$B$51:$AC$51</f>
            </numRef>
          </cat>
          <val>
            <numRef>
              <f>'EWD009'!$B$53:$AC$53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'EWD009'!$B$51:$AC$51</f>
            </numRef>
          </cat>
          <val>
            <numRef>
              <f>'EWD009'!$B$54:$AC$54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'EWD009'!$B$51:$AC$51</f>
            </numRef>
          </cat>
          <val>
            <numRef>
              <f>'EWD009'!$B$55:$AC$55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'EWD009'!$B$51:$AC$51</f>
            </numRef>
          </cat>
          <val>
            <numRef>
              <f>'EWD009'!$B$56:$AC$56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'EWD010'!$B$51:$AC$51</f>
            </numRef>
          </cat>
          <val>
            <numRef>
              <f>'EWD010'!$B$52:$AC$52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'EWD010'!$B$51:$AC$51</f>
            </numRef>
          </cat>
          <val>
            <numRef>
              <f>'EWD010'!$B$53:$AC$53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'EWD010'!$B$51:$AC$51</f>
            </numRef>
          </cat>
          <val>
            <numRef>
              <f>'EWD010'!$B$54:$AC$54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'EWD010'!$B$51:$AC$51</f>
            </numRef>
          </cat>
          <val>
            <numRef>
              <f>'EWD010'!$B$55:$AC$55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'EWD010'!$B$51:$AC$51</f>
            </numRef>
          </cat>
          <val>
            <numRef>
              <f>'EWD010'!$B$56:$AC$56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'EWD011'!$B$51:$AC$51</f>
            </numRef>
          </cat>
          <val>
            <numRef>
              <f>'EWD011'!$B$52:$AC$52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'EWD011'!$B$51:$AC$51</f>
            </numRef>
          </cat>
          <val>
            <numRef>
              <f>'EWD011'!$B$53:$AC$53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'EWD011'!$B$51:$AC$51</f>
            </numRef>
          </cat>
          <val>
            <numRef>
              <f>'EWD011'!$B$54:$AC$54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'EWD011'!$B$51:$AC$51</f>
            </numRef>
          </cat>
          <val>
            <numRef>
              <f>'EWD011'!$B$55:$AC$55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'EWD011'!$B$51:$AC$51</f>
            </numRef>
          </cat>
          <val>
            <numRef>
              <f>'EWD011'!$B$56:$AC$56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'EWD012'!$B$51:$AC$51</f>
            </numRef>
          </cat>
          <val>
            <numRef>
              <f>'EWD012'!$B$52:$AC$52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'EWD012'!$B$51:$AC$51</f>
            </numRef>
          </cat>
          <val>
            <numRef>
              <f>'EWD012'!$B$53:$AC$53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'EWD012'!$B$51:$AC$51</f>
            </numRef>
          </cat>
          <val>
            <numRef>
              <f>'EWD012'!$B$54:$AC$54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'EWD012'!$B$51:$AC$51</f>
            </numRef>
          </cat>
          <val>
            <numRef>
              <f>'EWD012'!$B$55:$AC$55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'EWD012'!$B$51:$AC$51</f>
            </numRef>
          </cat>
          <val>
            <numRef>
              <f>'EWD012'!$B$56:$AC$56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'EWD013'!$B$51:$AC$51</f>
            </numRef>
          </cat>
          <val>
            <numRef>
              <f>'EWD013'!$B$52:$AC$52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'EWD013'!$B$51:$AC$51</f>
            </numRef>
          </cat>
          <val>
            <numRef>
              <f>'EWD013'!$B$53:$AC$53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'EWD013'!$B$51:$AC$51</f>
            </numRef>
          </cat>
          <val>
            <numRef>
              <f>'EWD013'!$B$54:$AC$54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'EWD013'!$B$51:$AC$51</f>
            </numRef>
          </cat>
          <val>
            <numRef>
              <f>'EWD013'!$B$55:$AC$55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'EWD013'!$B$51:$AC$51</f>
            </numRef>
          </cat>
          <val>
            <numRef>
              <f>'EWD013'!$B$56:$AC$56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'EWD015'!$B$51:$AC$51</f>
            </numRef>
          </cat>
          <val>
            <numRef>
              <f>'EWD015'!$B$52:$AC$52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'EWD015'!$B$51:$AC$51</f>
            </numRef>
          </cat>
          <val>
            <numRef>
              <f>'EWD015'!$B$53:$AC$53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'EWD015'!$B$51:$AC$51</f>
            </numRef>
          </cat>
          <val>
            <numRef>
              <f>'EWD015'!$B$54:$AC$54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'EWD015'!$B$51:$AC$51</f>
            </numRef>
          </cat>
          <val>
            <numRef>
              <f>'EWD015'!$B$55:$AC$55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'EWD015'!$B$51:$AC$51</f>
            </numRef>
          </cat>
          <val>
            <numRef>
              <f>'EWD015'!$B$56:$AC$56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'EWD016'!$B$51:$AC$51</f>
            </numRef>
          </cat>
          <val>
            <numRef>
              <f>'EWD016'!$B$52:$AC$52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'EWD016'!$B$51:$AC$51</f>
            </numRef>
          </cat>
          <val>
            <numRef>
              <f>'EWD016'!$B$53:$AC$53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'EWD016'!$B$51:$AC$51</f>
            </numRef>
          </cat>
          <val>
            <numRef>
              <f>'EWD016'!$B$54:$AC$54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'EWD016'!$B$51:$AC$51</f>
            </numRef>
          </cat>
          <val>
            <numRef>
              <f>'EWD016'!$B$55:$AC$55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'EWD016'!$B$51:$AC$51</f>
            </numRef>
          </cat>
          <val>
            <numRef>
              <f>'EWD016'!$B$56:$AC$56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'EWD017'!$B$51:$AC$51</f>
            </numRef>
          </cat>
          <val>
            <numRef>
              <f>'EWD017'!$B$52:$AC$52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'EWD017'!$B$51:$AC$51</f>
            </numRef>
          </cat>
          <val>
            <numRef>
              <f>'EWD017'!$B$53:$AC$53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'EWD017'!$B$51:$AC$51</f>
            </numRef>
          </cat>
          <val>
            <numRef>
              <f>'EWD017'!$B$54:$AC$54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'EWD017'!$B$51:$AC$51</f>
            </numRef>
          </cat>
          <val>
            <numRef>
              <f>'EWD017'!$B$55:$AC$55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'EWD017'!$B$51:$AC$51</f>
            </numRef>
          </cat>
          <val>
            <numRef>
              <f>'EWD017'!$B$56:$AC$56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'EWD018'!$B$51:$AC$51</f>
            </numRef>
          </cat>
          <val>
            <numRef>
              <f>'EWD018'!$B$52:$AC$52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'EWD018'!$B$51:$AC$51</f>
            </numRef>
          </cat>
          <val>
            <numRef>
              <f>'EWD018'!$B$53:$AC$53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'EWD018'!$B$51:$AC$51</f>
            </numRef>
          </cat>
          <val>
            <numRef>
              <f>'EWD018'!$B$54:$AC$54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'EWD018'!$B$51:$AC$51</f>
            </numRef>
          </cat>
          <val>
            <numRef>
              <f>'EWD018'!$B$55:$AC$55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'EWD018'!$B$51:$AC$51</f>
            </numRef>
          </cat>
          <val>
            <numRef>
              <f>'EWD018'!$B$56:$AC$56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'EWD019'!$B$51:$AC$51</f>
            </numRef>
          </cat>
          <val>
            <numRef>
              <f>'EWD019'!$B$52:$AC$52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'EWD019'!$B$51:$AC$51</f>
            </numRef>
          </cat>
          <val>
            <numRef>
              <f>'EWD019'!$B$53:$AC$53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'EWD019'!$B$51:$AC$51</f>
            </numRef>
          </cat>
          <val>
            <numRef>
              <f>'EWD019'!$B$54:$AC$54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'EWD019'!$B$51:$AC$51</f>
            </numRef>
          </cat>
          <val>
            <numRef>
              <f>'EWD019'!$B$55:$AC$55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'EWD019'!$B$51:$AC$51</f>
            </numRef>
          </cat>
          <val>
            <numRef>
              <f>'EWD019'!$B$56:$AC$56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'EWD020'!$B$51:$AC$51</f>
            </numRef>
          </cat>
          <val>
            <numRef>
              <f>'EWD020'!$B$52:$AC$52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'EWD020'!$B$51:$AC$51</f>
            </numRef>
          </cat>
          <val>
            <numRef>
              <f>'EWD020'!$B$53:$AC$53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'EWD020'!$B$51:$AC$51</f>
            </numRef>
          </cat>
          <val>
            <numRef>
              <f>'EWD020'!$B$54:$AC$54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'EWD020'!$B$51:$AC$51</f>
            </numRef>
          </cat>
          <val>
            <numRef>
              <f>'EWD020'!$B$55:$AC$55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'EWD020'!$B$51:$AC$51</f>
            </numRef>
          </cat>
          <val>
            <numRef>
              <f>'EWD020'!$B$56:$AC$56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'EWD021'!$B$51:$AC$51</f>
            </numRef>
          </cat>
          <val>
            <numRef>
              <f>'EWD021'!$B$52:$AC$52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'EWD021'!$B$51:$AC$51</f>
            </numRef>
          </cat>
          <val>
            <numRef>
              <f>'EWD021'!$B$53:$AC$53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'EWD021'!$B$51:$AC$51</f>
            </numRef>
          </cat>
          <val>
            <numRef>
              <f>'EWD021'!$B$54:$AC$54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'EWD021'!$B$51:$AC$51</f>
            </numRef>
          </cat>
          <val>
            <numRef>
              <f>'EWD021'!$B$55:$AC$55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'EWD021'!$B$51:$AC$51</f>
            </numRef>
          </cat>
          <val>
            <numRef>
              <f>'EWD021'!$B$56:$AC$56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'EWD022'!$B$51:$AC$51</f>
            </numRef>
          </cat>
          <val>
            <numRef>
              <f>'EWD022'!$B$52:$AC$52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'EWD022'!$B$51:$AC$51</f>
            </numRef>
          </cat>
          <val>
            <numRef>
              <f>'EWD022'!$B$53:$AC$53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'EWD022'!$B$51:$AC$51</f>
            </numRef>
          </cat>
          <val>
            <numRef>
              <f>'EWD022'!$B$54:$AC$54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'EWD022'!$B$51:$AC$51</f>
            </numRef>
          </cat>
          <val>
            <numRef>
              <f>'EWD022'!$B$55:$AC$55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'EWD022'!$B$51:$AC$51</f>
            </numRef>
          </cat>
          <val>
            <numRef>
              <f>'EWD022'!$B$56:$AC$56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'EWD023'!$B$51:$AC$51</f>
            </numRef>
          </cat>
          <val>
            <numRef>
              <f>'EWD023'!$B$52:$AC$52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'EWD023'!$B$51:$AC$51</f>
            </numRef>
          </cat>
          <val>
            <numRef>
              <f>'EWD023'!$B$53:$AC$53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'EWD023'!$B$51:$AC$51</f>
            </numRef>
          </cat>
          <val>
            <numRef>
              <f>'EWD023'!$B$54:$AC$54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'EWD023'!$B$51:$AC$51</f>
            </numRef>
          </cat>
          <val>
            <numRef>
              <f>'EWD023'!$B$55:$AC$55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'EWD023'!$B$51:$AC$51</f>
            </numRef>
          </cat>
          <val>
            <numRef>
              <f>'EWD023'!$B$56:$AC$56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'EWD024'!$B$51:$AC$51</f>
            </numRef>
          </cat>
          <val>
            <numRef>
              <f>'EWD024'!$B$52:$AC$52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'EWD024'!$B$51:$AC$51</f>
            </numRef>
          </cat>
          <val>
            <numRef>
              <f>'EWD024'!$B$53:$AC$53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'EWD024'!$B$51:$AC$51</f>
            </numRef>
          </cat>
          <val>
            <numRef>
              <f>'EWD024'!$B$54:$AC$54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'EWD024'!$B$51:$AC$51</f>
            </numRef>
          </cat>
          <val>
            <numRef>
              <f>'EWD024'!$B$55:$AC$55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'EWD024'!$B$51:$AC$51</f>
            </numRef>
          </cat>
          <val>
            <numRef>
              <f>'EWD024'!$B$56:$AC$56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'EWD025'!$B$51:$AC$51</f>
            </numRef>
          </cat>
          <val>
            <numRef>
              <f>'EWD025'!$B$52:$AC$52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'EWD025'!$B$51:$AC$51</f>
            </numRef>
          </cat>
          <val>
            <numRef>
              <f>'EWD025'!$B$53:$AC$53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'EWD025'!$B$51:$AC$51</f>
            </numRef>
          </cat>
          <val>
            <numRef>
              <f>'EWD025'!$B$54:$AC$54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'EWD025'!$B$51:$AC$51</f>
            </numRef>
          </cat>
          <val>
            <numRef>
              <f>'EWD025'!$B$55:$AC$55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'EWD025'!$B$51:$AC$51</f>
            </numRef>
          </cat>
          <val>
            <numRef>
              <f>'EWD025'!$B$56:$AC$56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'EWD026'!$B$51:$AC$51</f>
            </numRef>
          </cat>
          <val>
            <numRef>
              <f>'EWD026'!$B$52:$AC$52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'EWD026'!$B$51:$AC$51</f>
            </numRef>
          </cat>
          <val>
            <numRef>
              <f>'EWD026'!$B$53:$AC$53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'EWD026'!$B$51:$AC$51</f>
            </numRef>
          </cat>
          <val>
            <numRef>
              <f>'EWD026'!$B$54:$AC$54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'EWD026'!$B$51:$AC$51</f>
            </numRef>
          </cat>
          <val>
            <numRef>
              <f>'EWD026'!$B$55:$AC$55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'EWD026'!$B$51:$AC$51</f>
            </numRef>
          </cat>
          <val>
            <numRef>
              <f>'EWD026'!$B$56:$AC$56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'EWD027'!$B$51:$AC$51</f>
            </numRef>
          </cat>
          <val>
            <numRef>
              <f>'EWD027'!$B$52:$AC$52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'EWD027'!$B$51:$AC$51</f>
            </numRef>
          </cat>
          <val>
            <numRef>
              <f>'EWD027'!$B$53:$AC$53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'EWD027'!$B$51:$AC$51</f>
            </numRef>
          </cat>
          <val>
            <numRef>
              <f>'EWD027'!$B$54:$AC$54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'EWD027'!$B$51:$AC$51</f>
            </numRef>
          </cat>
          <val>
            <numRef>
              <f>'EWD027'!$B$55:$AC$55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'EWD027'!$B$51:$AC$51</f>
            </numRef>
          </cat>
          <val>
            <numRef>
              <f>'EWD027'!$B$56:$AC$56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v>Funds Committed</v>
          </tx>
          <spPr>
            <a:ln w="9525">
              <a:solidFill>
                <a:schemeClr val="accent1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1"/>
              </a:solidFill>
              <a:ln>
                <a:prstDash val="solid"/>
              </a:ln>
            </spPr>
          </marker>
          <cat>
            <numRef>
              <f>'EWD028'!$B$51:$AC$51</f>
            </numRef>
          </cat>
          <val>
            <numRef>
              <f>'EWD028'!$B$52:$AC$52</f>
            </numRef>
          </val>
        </ser>
        <ser>
          <idx val="1"/>
          <order val="1"/>
          <tx>
            <v>Obligated Funds</v>
          </tx>
          <spPr>
            <a:ln w="9525">
              <a:solidFill>
                <a:schemeClr val="accent2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2"/>
              </a:solidFill>
              <a:ln>
                <a:prstDash val="solid"/>
              </a:ln>
            </spPr>
          </marker>
          <cat>
            <numRef>
              <f>'EWD028'!$B$51:$AC$51</f>
            </numRef>
          </cat>
          <val>
            <numRef>
              <f>'EWD028'!$B$53:$AC$53</f>
            </numRef>
          </val>
        </ser>
        <ser>
          <idx val="2"/>
          <order val="2"/>
          <tx>
            <v>Pre-Bill Expenditures</v>
          </tx>
          <spPr>
            <a:ln w="9525">
              <a:solidFill>
                <a:schemeClr val="accent3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3"/>
              </a:solidFill>
              <a:ln>
                <a:prstDash val="solid"/>
              </a:ln>
            </spPr>
          </marker>
          <cat>
            <numRef>
              <f>'EWD028'!$B$51:$AC$51</f>
            </numRef>
          </cat>
          <val>
            <numRef>
              <f>'EWD028'!$B$54:$AC$54</f>
            </numRef>
          </val>
        </ser>
        <ser>
          <idx val="3"/>
          <order val="3"/>
          <tx>
            <v>Budgeted Spend</v>
          </tx>
          <spPr>
            <a:ln w="9525">
              <a:solidFill>
                <a:schemeClr val="accent4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4"/>
              </a:solidFill>
              <a:ln>
                <a:prstDash val="solid"/>
              </a:ln>
            </spPr>
          </marker>
          <cat>
            <numRef>
              <f>'EWD028'!$B$51:$AC$51</f>
            </numRef>
          </cat>
          <val>
            <numRef>
              <f>'EWD028'!$B$55:$AC$55</f>
            </numRef>
          </val>
        </ser>
        <ser>
          <idx val="4"/>
          <order val="4"/>
          <tx>
            <v>Actual Expenditures</v>
          </tx>
          <spPr>
            <a:ln w="9525">
              <a:solidFill>
                <a:schemeClr val="accent5"/>
              </a:solidFill>
              <a:prstDash val="solid"/>
            </a:ln>
          </spPr>
          <marker>
            <symbol val="circle"/>
            <size val="5"/>
            <spPr>
              <a:solidFill>
                <a:schemeClr val="accent5"/>
              </a:solidFill>
              <a:ln>
                <a:prstDash val="solid"/>
              </a:ln>
            </spPr>
          </marker>
          <cat>
            <numRef>
              <f>'EWD028'!$B$51:$AC$51</f>
            </numRef>
          </cat>
          <val>
            <numRef>
              <f>'EWD028'!$B$56:$AC$56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$#,##0.0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58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EWD001</t>
        </is>
      </c>
    </row>
    <row r="4">
      <c r="A4" s="1" t="inlineStr">
        <is>
          <t>ROLLUP #</t>
        </is>
      </c>
      <c r="B4" t="inlineStr">
        <is>
          <t>3001</t>
        </is>
      </c>
    </row>
    <row r="5">
      <c r="A5" s="1" t="inlineStr">
        <is>
          <t>PROJECT NAME</t>
        </is>
      </c>
      <c r="B5" t="inlineStr">
        <is>
          <t>Boeing 2021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Gov, EWD-Non Gov Lic</t>
        </is>
      </c>
    </row>
    <row r="8">
      <c r="A8" s="1" t="inlineStr">
        <is>
          <t>SERVICE</t>
        </is>
      </c>
      <c r="B8" t="inlineStr">
        <is>
          <t>Private Grant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-345752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N18" s="2" t="n">
        <v>12838.73</v>
      </c>
      <c r="O18" s="2" t="n">
        <v>6845.51</v>
      </c>
      <c r="P18" s="2" t="n">
        <v>10409.17</v>
      </c>
      <c r="Q18" s="2" t="n">
        <v>5583.35</v>
      </c>
      <c r="R18" s="2" t="n">
        <v>7816.86</v>
      </c>
      <c r="S18" s="2" t="n">
        <v>1646.53</v>
      </c>
      <c r="T18" s="2" t="n">
        <v>1140.82</v>
      </c>
      <c r="U18" s="2" t="n">
        <v>985.47</v>
      </c>
      <c r="V18" s="2" t="n">
        <v>16435.03</v>
      </c>
      <c r="W18" s="2" t="n">
        <v>2655.88</v>
      </c>
      <c r="X18" s="2" t="n">
        <v>7017.4</v>
      </c>
      <c r="AE18" s="10">
        <f>SUM(C18:AD18)</f>
        <v/>
      </c>
    </row>
    <row r="19">
      <c r="B19" t="inlineStr">
        <is>
          <t>Fringe 5990</t>
        </is>
      </c>
      <c r="N19" s="2" t="n">
        <v>5510.37</v>
      </c>
      <c r="O19" s="2" t="n">
        <v>3099.65</v>
      </c>
      <c r="P19" s="2" t="n">
        <v>4713.27</v>
      </c>
      <c r="Q19" s="2" t="n">
        <v>2528.16</v>
      </c>
      <c r="R19" s="2" t="n">
        <v>3539.47</v>
      </c>
      <c r="S19" s="2" t="n">
        <v>745.54</v>
      </c>
      <c r="T19" s="2" t="n">
        <v>595.17</v>
      </c>
      <c r="U19" s="2" t="n">
        <v>474.01</v>
      </c>
      <c r="V19" s="2" t="n">
        <v>7905.26</v>
      </c>
      <c r="W19" s="2" t="n">
        <v>1334.85</v>
      </c>
      <c r="X19" s="2" t="n">
        <v>3526.95</v>
      </c>
      <c r="AE19" s="10">
        <f>SUM(C19:AD19)</f>
        <v/>
      </c>
    </row>
    <row r="20">
      <c r="B20" t="inlineStr">
        <is>
          <t>Travel 5004</t>
        </is>
      </c>
      <c r="N20" s="2" t="n">
        <v>1153.37</v>
      </c>
      <c r="W20" s="2" t="n">
        <v>1559.14</v>
      </c>
      <c r="X20" s="2" t="n">
        <v>1511.24</v>
      </c>
      <c r="AE20" s="10">
        <f>SUM(C20:AD20)</f>
        <v/>
      </c>
    </row>
    <row r="21">
      <c r="B21" t="inlineStr">
        <is>
          <t>Subcontracting 5005</t>
        </is>
      </c>
      <c r="N21" s="2" t="n">
        <v>719.61</v>
      </c>
      <c r="P21" s="2" t="n">
        <v>26572.88</v>
      </c>
      <c r="Q21" s="2" t="n">
        <v>26743.77</v>
      </c>
      <c r="R21" s="2" t="n">
        <v>93452.78</v>
      </c>
      <c r="S21" s="2" t="n">
        <v>25488.66</v>
      </c>
      <c r="T21" s="2" t="n">
        <v>32542.8</v>
      </c>
      <c r="U21" s="2" t="n">
        <v>96231.25</v>
      </c>
      <c r="V21" s="2" t="n">
        <v>44000.11</v>
      </c>
      <c r="AE21" s="10">
        <f>SUM(C21:AD21)</f>
        <v/>
      </c>
    </row>
    <row r="22">
      <c r="B22" t="inlineStr">
        <is>
          <t>Consulting 5002</t>
        </is>
      </c>
      <c r="X22" s="2" t="n">
        <v>1000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N25" s="2" t="n">
        <v>600</v>
      </c>
      <c r="O25" s="2" t="n">
        <v>120.86</v>
      </c>
      <c r="P25" s="2" t="n">
        <v>118.93</v>
      </c>
      <c r="Q25" s="2" t="n">
        <v>17.1</v>
      </c>
      <c r="U25" s="2" t="n">
        <v>35.94</v>
      </c>
      <c r="W25" s="2" t="n">
        <v>62.7</v>
      </c>
      <c r="X25" s="2" t="n">
        <v>14586.99</v>
      </c>
      <c r="AE25" s="10">
        <f>SUM(C25:AD25)</f>
        <v/>
      </c>
    </row>
    <row r="26">
      <c r="B26" t="inlineStr">
        <is>
          <t>Material 5003</t>
        </is>
      </c>
      <c r="N26" s="2" t="n">
        <v>150.93</v>
      </c>
      <c r="O26" s="2" t="n">
        <v>57.13</v>
      </c>
      <c r="P26" s="2" t="n">
        <v>476.64</v>
      </c>
      <c r="Q26" s="2" t="n">
        <v>65</v>
      </c>
      <c r="X26" s="2" t="n">
        <v>365</v>
      </c>
      <c r="AE26" s="10">
        <f>SUM(C26:AD26)</f>
        <v/>
      </c>
    </row>
    <row r="27">
      <c r="B27" t="inlineStr">
        <is>
          <t>Sub K Overhead 5992</t>
        </is>
      </c>
      <c r="P27" s="2" t="n">
        <v>752.01</v>
      </c>
      <c r="Q27" s="2" t="n">
        <v>756.84</v>
      </c>
      <c r="R27" s="2" t="n">
        <v>2644.72</v>
      </c>
      <c r="S27" s="2" t="n">
        <v>521.45</v>
      </c>
      <c r="T27" s="2" t="n">
        <v>1254.32</v>
      </c>
      <c r="U27" s="2" t="n">
        <v>2944.68</v>
      </c>
      <c r="V27" s="2" t="n">
        <v>1346.4</v>
      </c>
      <c r="AE27" s="10">
        <f>SUM(C27:AD27)</f>
        <v/>
      </c>
    </row>
    <row r="28">
      <c r="B28" t="inlineStr">
        <is>
          <t>Sub K Overhead 5993</t>
        </is>
      </c>
      <c r="O28" s="2" t="n">
        <v>14650.21</v>
      </c>
      <c r="P28" s="2" t="n">
        <v>22747.11</v>
      </c>
      <c r="Q28" s="2" t="n">
        <v>11857.76</v>
      </c>
      <c r="R28" s="2" t="n">
        <v>16434.89</v>
      </c>
      <c r="S28" s="2" t="n">
        <v>3461.8</v>
      </c>
      <c r="T28" s="2" t="n">
        <v>-3461.84</v>
      </c>
      <c r="AE28" s="10">
        <f>SUM(C28:AD28)</f>
        <v/>
      </c>
    </row>
    <row r="29">
      <c r="B29" t="inlineStr">
        <is>
          <t>G&amp;A 5991</t>
        </is>
      </c>
      <c r="N29" s="2" t="n">
        <v>10949</v>
      </c>
      <c r="T29" s="2" t="n">
        <v>5423.87</v>
      </c>
      <c r="U29" s="2" t="n">
        <v>1964.83</v>
      </c>
      <c r="V29" s="2" t="n">
        <v>31980.7</v>
      </c>
      <c r="W29" s="2" t="n">
        <v>7452.93</v>
      </c>
      <c r="X29" s="2" t="n">
        <v>37191.26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EWD002</t>
        </is>
      </c>
    </row>
    <row r="4">
      <c r="A4" s="1" t="inlineStr">
        <is>
          <t>ROLLUP #</t>
        </is>
      </c>
      <c r="B4" t="inlineStr">
        <is>
          <t>3003</t>
        </is>
      </c>
    </row>
    <row r="5">
      <c r="A5" s="1" t="inlineStr">
        <is>
          <t>PROJECT NAME</t>
        </is>
      </c>
      <c r="B5" t="inlineStr">
        <is>
          <t>Boeing WFD 2019 South East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Gov, EWD-Non Gov Lic</t>
        </is>
      </c>
    </row>
    <row r="8">
      <c r="A8" s="1" t="inlineStr">
        <is>
          <t>SERVICE</t>
        </is>
      </c>
      <c r="B8" t="inlineStr">
        <is>
          <t>Private Grant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62440.92</v>
      </c>
      <c r="J18" s="2" t="n">
        <v>32133.16</v>
      </c>
      <c r="N18" s="2" t="n">
        <v>22114.87</v>
      </c>
      <c r="O18" s="2" t="n">
        <v>5648.14</v>
      </c>
      <c r="P18" s="2" t="n">
        <v>5128.36</v>
      </c>
      <c r="Q18" s="2" t="n">
        <v>2047.3</v>
      </c>
      <c r="R18" s="2" t="n">
        <v>2535.09</v>
      </c>
      <c r="S18" s="2" t="n">
        <v>1233.72</v>
      </c>
      <c r="T18" s="2" t="n">
        <v>913.01</v>
      </c>
      <c r="U18" s="2" t="n">
        <v>2711.24</v>
      </c>
      <c r="V18" s="2" t="n">
        <v>2557.43</v>
      </c>
      <c r="X18" s="2" t="n">
        <v>7070.01</v>
      </c>
      <c r="AE18" s="10">
        <f>SUM(C18:AD18)</f>
        <v/>
      </c>
    </row>
    <row r="19">
      <c r="B19" t="inlineStr">
        <is>
          <t>Fringe 5990</t>
        </is>
      </c>
      <c r="F19" s="2" t="n">
        <v>25962.93</v>
      </c>
      <c r="J19" s="2" t="n">
        <v>12682.96</v>
      </c>
      <c r="N19" s="2" t="n">
        <v>9492.15</v>
      </c>
      <c r="O19" s="2" t="n">
        <v>2557.48</v>
      </c>
      <c r="P19" s="2" t="n">
        <v>2322.12</v>
      </c>
      <c r="Q19" s="2" t="n">
        <v>927.01</v>
      </c>
      <c r="R19" s="2" t="n">
        <v>1147.89</v>
      </c>
      <c r="S19" s="2" t="n">
        <v>558.63</v>
      </c>
      <c r="T19" s="2" t="n">
        <v>473.94</v>
      </c>
      <c r="U19" s="2" t="n">
        <v>1304.11</v>
      </c>
      <c r="V19" s="2" t="n">
        <v>1230.12</v>
      </c>
      <c r="X19" s="2" t="n">
        <v>3553.39</v>
      </c>
      <c r="AE19" s="10">
        <f>SUM(C19:AD19)</f>
        <v/>
      </c>
    </row>
    <row r="20">
      <c r="B20" t="inlineStr">
        <is>
          <t>Travel 5004</t>
        </is>
      </c>
      <c r="F20" s="2" t="n">
        <v>25701.61</v>
      </c>
      <c r="AE20" s="10">
        <f>SUM(C20:AD20)</f>
        <v/>
      </c>
    </row>
    <row r="21">
      <c r="B21" t="inlineStr">
        <is>
          <t>Subcontracting 5005</t>
        </is>
      </c>
      <c r="J21" s="2" t="n">
        <v>12560</v>
      </c>
      <c r="AE21" s="10">
        <f>SUM(C21:AD21)</f>
        <v/>
      </c>
    </row>
    <row r="22">
      <c r="B22" t="inlineStr">
        <is>
          <t>Consulting 5002</t>
        </is>
      </c>
      <c r="F22" s="2" t="n">
        <v>300</v>
      </c>
      <c r="J22" s="2" t="n">
        <v>26910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N25" s="2" t="n">
        <v>18.83</v>
      </c>
      <c r="V25" s="2" t="n">
        <v>24.56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5095.68</v>
      </c>
      <c r="P28" s="2" t="n">
        <v>4626.75</v>
      </c>
      <c r="Q28" s="2" t="n">
        <v>1847.05</v>
      </c>
      <c r="R28" s="2" t="n">
        <v>2287.13</v>
      </c>
      <c r="S28" s="2" t="n">
        <v>1113.04</v>
      </c>
      <c r="T28" s="2" t="n">
        <v>-1113.05</v>
      </c>
      <c r="AE28" s="10">
        <f>SUM(C28:AD28)</f>
        <v/>
      </c>
    </row>
    <row r="29">
      <c r="B29" t="inlineStr">
        <is>
          <t>G&amp;A 5991</t>
        </is>
      </c>
      <c r="F29" s="2" t="n">
        <v>29860.81</v>
      </c>
      <c r="J29" s="2" t="n">
        <v>18057.99</v>
      </c>
      <c r="N29" s="2" t="n">
        <v>17096.94</v>
      </c>
      <c r="T29" s="2" t="n">
        <v>1923.17</v>
      </c>
      <c r="U29" s="2" t="n">
        <v>2428.89</v>
      </c>
      <c r="V29" s="2" t="n">
        <v>2305.95</v>
      </c>
      <c r="X29" s="2" t="n">
        <v>6673.62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EWD003</t>
        </is>
      </c>
    </row>
    <row r="4">
      <c r="A4" s="1" t="inlineStr">
        <is>
          <t>ROLLUP #</t>
        </is>
      </c>
      <c r="B4" t="inlineStr">
        <is>
          <t>3005</t>
        </is>
      </c>
    </row>
    <row r="5">
      <c r="A5" s="1" t="inlineStr">
        <is>
          <t>PROJECT NAME</t>
        </is>
      </c>
      <c r="B5" t="inlineStr">
        <is>
          <t>Boeing WFD 2019 SOCAL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Gov, EWD-Non Gov Lic</t>
        </is>
      </c>
    </row>
    <row r="8">
      <c r="A8" s="1" t="inlineStr">
        <is>
          <t>SERVICE</t>
        </is>
      </c>
      <c r="B8" t="inlineStr">
        <is>
          <t>Private Grant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379.39</v>
      </c>
      <c r="J18" s="2" t="n">
        <v>16768.7</v>
      </c>
      <c r="N18" s="2" t="n">
        <v>5473.81</v>
      </c>
      <c r="O18" s="2" t="n">
        <v>1814.05</v>
      </c>
      <c r="P18" s="2" t="n">
        <v>5724.18</v>
      </c>
      <c r="Q18" s="2" t="n">
        <v>2435.72</v>
      </c>
      <c r="R18" s="2" t="n">
        <v>984.67</v>
      </c>
      <c r="S18" s="2" t="n">
        <v>694.3</v>
      </c>
      <c r="T18" s="2" t="n">
        <v>60.01</v>
      </c>
      <c r="U18" s="2" t="n">
        <v>683.8</v>
      </c>
      <c r="V18" s="2" t="n">
        <v>1212.72</v>
      </c>
      <c r="AE18" s="10">
        <f>SUM(C18:AD18)</f>
        <v/>
      </c>
    </row>
    <row r="19">
      <c r="B19" t="inlineStr">
        <is>
          <t>Fringe 5990</t>
        </is>
      </c>
      <c r="F19" s="2" t="n">
        <v>157.75</v>
      </c>
      <c r="J19" s="2" t="n">
        <v>6618.61</v>
      </c>
      <c r="N19" s="2" t="n">
        <v>2349.36</v>
      </c>
      <c r="O19" s="2" t="n">
        <v>821.4</v>
      </c>
      <c r="P19" s="2" t="n">
        <v>2591.92</v>
      </c>
      <c r="Q19" s="2" t="n">
        <v>1102.89</v>
      </c>
      <c r="R19" s="2" t="n">
        <v>445.85</v>
      </c>
      <c r="S19" s="2" t="n">
        <v>314.38</v>
      </c>
      <c r="T19" s="2" t="n">
        <v>48.44</v>
      </c>
      <c r="U19" s="2" t="n">
        <v>328.91</v>
      </c>
      <c r="V19" s="2" t="n">
        <v>583.3200000000001</v>
      </c>
      <c r="AE19" s="10">
        <f>SUM(C19:AD19)</f>
        <v/>
      </c>
    </row>
    <row r="20">
      <c r="B20" t="inlineStr">
        <is>
          <t>Travel 5004</t>
        </is>
      </c>
      <c r="P20" s="2" t="n">
        <v>998.04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R22" s="2" t="n">
        <v>21350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T25" s="2" t="n">
        <v>31.94</v>
      </c>
      <c r="AE25" s="10">
        <f>SUM(C25:AD25)</f>
        <v/>
      </c>
    </row>
    <row r="26">
      <c r="B26" t="inlineStr">
        <is>
          <t>Material 5003</t>
        </is>
      </c>
      <c r="O26" s="2" t="n">
        <v>25.13</v>
      </c>
      <c r="P26" s="2" t="n">
        <v>79.44</v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1652.22</v>
      </c>
      <c r="P28" s="2" t="n">
        <v>5833.4</v>
      </c>
      <c r="Q28" s="2" t="n">
        <v>2197.47</v>
      </c>
      <c r="R28" s="2" t="n">
        <v>14146.71</v>
      </c>
      <c r="S28" s="2" t="n">
        <v>626.39</v>
      </c>
      <c r="T28" s="2" t="n">
        <v>-626.39</v>
      </c>
      <c r="AE28" s="10">
        <f>SUM(C28:AD28)</f>
        <v/>
      </c>
    </row>
    <row r="29">
      <c r="B29" t="inlineStr">
        <is>
          <t>G&amp;A 5991</t>
        </is>
      </c>
      <c r="F29" s="2" t="n">
        <v>127.3</v>
      </c>
      <c r="J29" s="2" t="n">
        <v>5920.31</v>
      </c>
      <c r="N29" s="2" t="n">
        <v>4229.21</v>
      </c>
      <c r="T29" s="2" t="n">
        <v>695.0700000000001</v>
      </c>
      <c r="U29" s="2" t="n">
        <v>612.59</v>
      </c>
      <c r="V29" s="2" t="n">
        <v>1086.42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EWD004</t>
        </is>
      </c>
    </row>
    <row r="4">
      <c r="A4" s="1" t="inlineStr">
        <is>
          <t>ROLLUP #</t>
        </is>
      </c>
      <c r="B4" t="inlineStr">
        <is>
          <t>3006</t>
        </is>
      </c>
    </row>
    <row r="5">
      <c r="A5" s="1" t="inlineStr">
        <is>
          <t>PROJECT NAME</t>
        </is>
      </c>
      <c r="B5" t="inlineStr">
        <is>
          <t>SFMade Flexfactor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Gov, EWD-Non Gov Lic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Q18" s="2" t="n">
        <v>1137.47</v>
      </c>
      <c r="R18" s="2" t="n">
        <v>44.95</v>
      </c>
      <c r="S18" s="2" t="n">
        <v>61.83</v>
      </c>
      <c r="T18" s="2" t="n">
        <v>112.59</v>
      </c>
      <c r="U18" s="2" t="n">
        <v>243.95</v>
      </c>
      <c r="AE18" s="10">
        <f>SUM(C18:AD18)</f>
        <v/>
      </c>
    </row>
    <row r="19">
      <c r="B19" t="inlineStr">
        <is>
          <t>Fringe 5990</t>
        </is>
      </c>
      <c r="Q19" s="2" t="n">
        <v>515.05</v>
      </c>
      <c r="R19" s="2" t="n">
        <v>20.35</v>
      </c>
      <c r="S19" s="2" t="n">
        <v>27.99</v>
      </c>
      <c r="T19" s="2" t="n">
        <v>55.9</v>
      </c>
      <c r="U19" s="2" t="n">
        <v>117.34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U25" s="2" t="n">
        <v>473.5</v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Q28" s="2" t="n">
        <v>1026.21</v>
      </c>
      <c r="R28" s="2" t="n">
        <v>40.55</v>
      </c>
      <c r="S28" s="2" t="n">
        <v>55.78</v>
      </c>
      <c r="T28" s="2" t="n">
        <v>-55.78</v>
      </c>
      <c r="AE28" s="10">
        <f>SUM(C28:AD28)</f>
        <v/>
      </c>
    </row>
    <row r="29">
      <c r="B29" t="inlineStr">
        <is>
          <t>G&amp;A 5991</t>
        </is>
      </c>
      <c r="T29" s="2" t="n">
        <v>156.25</v>
      </c>
      <c r="U29" s="2" t="n">
        <v>504.96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EWD005</t>
        </is>
      </c>
    </row>
    <row r="4">
      <c r="A4" s="1" t="inlineStr">
        <is>
          <t>ROLLUP #</t>
        </is>
      </c>
      <c r="B4" t="inlineStr">
        <is>
          <t>740003</t>
        </is>
      </c>
    </row>
    <row r="5">
      <c r="A5" s="1" t="inlineStr">
        <is>
          <t>PROJECT NAME</t>
        </is>
      </c>
      <c r="B5" t="inlineStr">
        <is>
          <t>Campbell USD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35969.43+C30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EWD006</t>
        </is>
      </c>
    </row>
    <row r="4">
      <c r="A4" s="1" t="inlineStr">
        <is>
          <t>ROLLUP #</t>
        </is>
      </c>
      <c r="B4" t="inlineStr">
        <is>
          <t>740004</t>
        </is>
      </c>
    </row>
    <row r="5">
      <c r="A5" s="1" t="inlineStr">
        <is>
          <t>PROJECT NAME</t>
        </is>
      </c>
      <c r="B5" t="inlineStr">
        <is>
          <t>MetroEd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-896.75+C30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EWD007</t>
        </is>
      </c>
    </row>
    <row r="4">
      <c r="A4" s="1" t="inlineStr">
        <is>
          <t>ROLLUP #</t>
        </is>
      </c>
      <c r="B4" t="inlineStr">
        <is>
          <t>740005</t>
        </is>
      </c>
    </row>
    <row r="5">
      <c r="A5" s="1" t="inlineStr">
        <is>
          <t>PROJECT NAME</t>
        </is>
      </c>
      <c r="B5" t="inlineStr">
        <is>
          <t>East Side USD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32226.29+C30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EWD008</t>
        </is>
      </c>
    </row>
    <row r="4">
      <c r="A4" s="1" t="inlineStr">
        <is>
          <t>ROLLUP #</t>
        </is>
      </c>
      <c r="B4" t="inlineStr">
        <is>
          <t>740000</t>
        </is>
      </c>
    </row>
    <row r="5">
      <c r="A5" s="1" t="inlineStr">
        <is>
          <t>PROJECT NAME</t>
        </is>
      </c>
      <c r="B5" t="inlineStr">
        <is>
          <t>Dupont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951.0+C30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EWD009</t>
        </is>
      </c>
    </row>
    <row r="4">
      <c r="A4" s="1" t="inlineStr">
        <is>
          <t>ROLLUP #</t>
        </is>
      </c>
      <c r="B4" t="inlineStr">
        <is>
          <t>740007</t>
        </is>
      </c>
    </row>
    <row r="5">
      <c r="A5" s="1" t="inlineStr">
        <is>
          <t>PROJECT NAME</t>
        </is>
      </c>
      <c r="B5" t="inlineStr">
        <is>
          <t>Santa Clara USD 2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56897.5+C30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EWD010</t>
        </is>
      </c>
    </row>
    <row r="4">
      <c r="A4" s="1" t="inlineStr">
        <is>
          <t>ROLLUP #</t>
        </is>
      </c>
      <c r="B4" t="inlineStr">
        <is>
          <t>740001</t>
        </is>
      </c>
    </row>
    <row r="5">
      <c r="A5" s="1" t="inlineStr">
        <is>
          <t>PROJECT NAME</t>
        </is>
      </c>
      <c r="B5" t="inlineStr">
        <is>
          <t>Evergreen Valley College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589351.34+C30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EWD011</t>
        </is>
      </c>
    </row>
    <row r="4">
      <c r="A4" s="1" t="inlineStr">
        <is>
          <t>ROLLUP #</t>
        </is>
      </c>
      <c r="B4" t="inlineStr">
        <is>
          <t>740002</t>
        </is>
      </c>
    </row>
    <row r="5">
      <c r="A5" s="1" t="inlineStr">
        <is>
          <t>PROJECT NAME</t>
        </is>
      </c>
      <c r="B5" t="inlineStr">
        <is>
          <t>City of San Jose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2503.37+C30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EWD012</t>
        </is>
      </c>
    </row>
    <row r="4">
      <c r="A4" s="1" t="inlineStr">
        <is>
          <t>ROLLUP #</t>
        </is>
      </c>
      <c r="B4" t="inlineStr">
        <is>
          <t>740008</t>
        </is>
      </c>
    </row>
    <row r="5">
      <c r="A5" s="1" t="inlineStr">
        <is>
          <t>PROJECT NAME</t>
        </is>
      </c>
      <c r="B5" t="inlineStr">
        <is>
          <t>San Jose USD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74235.27+C30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EWD013</t>
        </is>
      </c>
    </row>
    <row r="4">
      <c r="A4" s="1" t="inlineStr">
        <is>
          <t>ROLLUP #</t>
        </is>
      </c>
      <c r="B4" t="inlineStr">
        <is>
          <t>740009</t>
        </is>
      </c>
    </row>
    <row r="5">
      <c r="A5" s="1" t="inlineStr">
        <is>
          <t>PROJECT NAME</t>
        </is>
      </c>
      <c r="B5" t="inlineStr">
        <is>
          <t>Union School District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24054.89+C30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EWD015</t>
        </is>
      </c>
    </row>
    <row r="4">
      <c r="A4" s="1" t="inlineStr">
        <is>
          <t>ROLLUP #</t>
        </is>
      </c>
      <c r="B4" t="inlineStr">
        <is>
          <t>740010</t>
        </is>
      </c>
    </row>
    <row r="5">
      <c r="A5" s="1" t="inlineStr">
        <is>
          <t>PROJECT NAME</t>
        </is>
      </c>
      <c r="B5" t="inlineStr">
        <is>
          <t>LCCC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407.93</v>
      </c>
      <c r="AE18" s="10">
        <f>SUM(C18:AD18)</f>
        <v/>
      </c>
    </row>
    <row r="19">
      <c r="B19" t="inlineStr">
        <is>
          <t>Fringe 5990</t>
        </is>
      </c>
      <c r="F19" s="2" t="n">
        <v>169.62</v>
      </c>
      <c r="AE19" s="10">
        <f>SUM(C19:AD19)</f>
        <v/>
      </c>
    </row>
    <row r="20">
      <c r="B20" t="inlineStr">
        <is>
          <t>Travel 5004</t>
        </is>
      </c>
      <c r="F20" s="2" t="n">
        <v>840.75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336.14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36766.08+C30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EWD016</t>
        </is>
      </c>
    </row>
    <row r="4">
      <c r="A4" s="1" t="inlineStr">
        <is>
          <t>ROLLUP #</t>
        </is>
      </c>
      <c r="B4" t="inlineStr">
        <is>
          <t>740011</t>
        </is>
      </c>
    </row>
    <row r="5">
      <c r="A5" s="1" t="inlineStr">
        <is>
          <t>PROJECT NAME</t>
        </is>
      </c>
      <c r="B5" t="inlineStr">
        <is>
          <t>EVC FF Project Mgnt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37423.55+C30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EWD017</t>
        </is>
      </c>
    </row>
    <row r="4">
      <c r="A4" s="1" t="inlineStr">
        <is>
          <t>ROLLUP #</t>
        </is>
      </c>
      <c r="B4" t="inlineStr">
        <is>
          <t>740012</t>
        </is>
      </c>
    </row>
    <row r="5">
      <c r="A5" s="1" t="inlineStr">
        <is>
          <t>PROJECT NAME</t>
        </is>
      </c>
      <c r="B5" t="inlineStr">
        <is>
          <t>EVC AMT S19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18786.600000000002+C30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EWD018</t>
        </is>
      </c>
    </row>
    <row r="4">
      <c r="A4" s="1" t="inlineStr">
        <is>
          <t>ROLLUP #</t>
        </is>
      </c>
      <c r="B4" t="inlineStr">
        <is>
          <t>740014</t>
        </is>
      </c>
    </row>
    <row r="5">
      <c r="A5" s="1" t="inlineStr">
        <is>
          <t>PROJECT NAME</t>
        </is>
      </c>
      <c r="B5" t="inlineStr">
        <is>
          <t>FHE PRO TIDE Academy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Academic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5251.3+C30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EWD019</t>
        </is>
      </c>
    </row>
    <row r="4">
      <c r="A4" s="1" t="inlineStr">
        <is>
          <t>ROLLUP #</t>
        </is>
      </c>
      <c r="B4" t="inlineStr">
        <is>
          <t>740016</t>
        </is>
      </c>
    </row>
    <row r="5">
      <c r="A5" s="1" t="inlineStr">
        <is>
          <t>PROJECT NAME</t>
        </is>
      </c>
      <c r="B5" t="inlineStr">
        <is>
          <t>EVC Consulting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 4000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4475.68+C30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EWD020</t>
        </is>
      </c>
    </row>
    <row r="4">
      <c r="A4" s="1" t="inlineStr">
        <is>
          <t>ROLLUP #</t>
        </is>
      </c>
      <c r="B4" t="inlineStr">
        <is>
          <t>850001</t>
        </is>
      </c>
    </row>
    <row r="5">
      <c r="A5" s="1" t="inlineStr">
        <is>
          <t>PROJECT NAME</t>
        </is>
      </c>
      <c r="B5" t="inlineStr">
        <is>
          <t>MetroEd Funded by Xilinx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4996.37+C30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EWD021</t>
        </is>
      </c>
    </row>
    <row r="4">
      <c r="A4" s="1" t="inlineStr">
        <is>
          <t>ROLLUP #</t>
        </is>
      </c>
      <c r="B4" t="inlineStr">
        <is>
          <t>850003</t>
        </is>
      </c>
    </row>
    <row r="5">
      <c r="A5" s="1" t="inlineStr">
        <is>
          <t>PROJECT NAME</t>
        </is>
      </c>
      <c r="B5" t="inlineStr">
        <is>
          <t>Silicon Valley Community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Private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479.76+C30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EWD022</t>
        </is>
      </c>
    </row>
    <row r="4">
      <c r="A4" s="1" t="inlineStr">
        <is>
          <t>ROLLUP #</t>
        </is>
      </c>
      <c r="B4" t="inlineStr">
        <is>
          <t>850004</t>
        </is>
      </c>
    </row>
    <row r="5">
      <c r="A5" s="1" t="inlineStr">
        <is>
          <t>PROJECT NAME</t>
        </is>
      </c>
      <c r="B5" t="inlineStr">
        <is>
          <t>Morgan Family Foundation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Private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47978.28+C30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EWD023</t>
        </is>
      </c>
    </row>
    <row r="4">
      <c r="A4" s="1" t="inlineStr">
        <is>
          <t>ROLLUP #</t>
        </is>
      </c>
      <c r="B4" t="inlineStr">
        <is>
          <t>850005</t>
        </is>
      </c>
    </row>
    <row r="5">
      <c r="A5" s="1" t="inlineStr">
        <is>
          <t>PROJECT NAME</t>
        </is>
      </c>
      <c r="B5" t="inlineStr">
        <is>
          <t>Boeing 2018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Private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9261.76</v>
      </c>
      <c r="J18" s="2" t="n">
        <v>1909.68</v>
      </c>
      <c r="O18" s="2" t="n">
        <v>3226.62</v>
      </c>
      <c r="P18" s="2" t="n">
        <v>3515.05</v>
      </c>
      <c r="Q18" s="2" t="n">
        <v>822.03</v>
      </c>
      <c r="R18" s="2" t="n">
        <v>1146.34</v>
      </c>
      <c r="S18" s="2" t="n">
        <v>1173.85</v>
      </c>
      <c r="T18" s="2" t="n">
        <v>67.5</v>
      </c>
      <c r="AE18" s="10">
        <f>SUM(C18:AD18)</f>
        <v/>
      </c>
    </row>
    <row r="19">
      <c r="B19" t="inlineStr">
        <is>
          <t>Fringe 5990</t>
        </is>
      </c>
      <c r="F19" s="2" t="n">
        <v>3851.04</v>
      </c>
      <c r="J19" s="2" t="n">
        <v>753.75</v>
      </c>
      <c r="O19" s="2" t="n">
        <v>1461.01</v>
      </c>
      <c r="P19" s="2" t="n">
        <v>1591.61</v>
      </c>
      <c r="Q19" s="2" t="n">
        <v>372.22</v>
      </c>
      <c r="R19" s="2" t="n">
        <v>412.77</v>
      </c>
      <c r="S19" s="2" t="n">
        <v>531.53</v>
      </c>
      <c r="T19" s="2" t="n">
        <v>65.56999999999999</v>
      </c>
      <c r="AE19" s="10">
        <f>SUM(C19:AD19)</f>
        <v/>
      </c>
    </row>
    <row r="20">
      <c r="B20" t="inlineStr">
        <is>
          <t>Travel 5004</t>
        </is>
      </c>
      <c r="F20" s="2" t="n">
        <v>9512.879999999999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R22" s="2" t="n">
        <v>5000</v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2911.03</v>
      </c>
      <c r="P28" s="2" t="n">
        <v>3171.23</v>
      </c>
      <c r="Q28" s="2" t="n">
        <v>741.62</v>
      </c>
      <c r="R28" s="2" t="n">
        <v>822.41</v>
      </c>
      <c r="S28" s="2" t="n">
        <v>1059.03</v>
      </c>
      <c r="T28" s="2" t="n">
        <v>-1059.03</v>
      </c>
      <c r="AE28" s="10">
        <f>SUM(C28:AD28)</f>
        <v/>
      </c>
    </row>
    <row r="29">
      <c r="B29" t="inlineStr">
        <is>
          <t>G&amp;A 5991</t>
        </is>
      </c>
      <c r="F29" s="2" t="n">
        <v>5400.67</v>
      </c>
      <c r="J29" s="2" t="n">
        <v>744.03</v>
      </c>
      <c r="T29" s="2" t="n">
        <v>1112.07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177627.36+C30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EWD024</t>
        </is>
      </c>
    </row>
    <row r="4">
      <c r="A4" s="1" t="inlineStr">
        <is>
          <t>ROLLUP #</t>
        </is>
      </c>
      <c r="B4" t="inlineStr">
        <is>
          <t>750012</t>
        </is>
      </c>
    </row>
    <row r="5">
      <c r="A5" s="1" t="inlineStr">
        <is>
          <t>PROJECT NAME</t>
        </is>
      </c>
      <c r="B5" t="inlineStr">
        <is>
          <t>SI2 Technologies Inc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F18" s="2" t="n">
        <v>7014.2</v>
      </c>
      <c r="AE18" s="10">
        <f>SUM(C18:AD18)</f>
        <v/>
      </c>
    </row>
    <row r="19">
      <c r="B19" t="inlineStr">
        <is>
          <t>Fringe 5990</t>
        </is>
      </c>
      <c r="F19" s="2" t="n">
        <v>2916.5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F29" s="2" t="n">
        <v>2353.58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EWD025</t>
        </is>
      </c>
    </row>
    <row r="4">
      <c r="A4" s="1" t="inlineStr">
        <is>
          <t>ROLLUP #</t>
        </is>
      </c>
      <c r="B4" t="inlineStr">
        <is>
          <t>850034</t>
        </is>
      </c>
    </row>
    <row r="5">
      <c r="A5" s="1" t="inlineStr">
        <is>
          <t>PROJECT NAME</t>
        </is>
      </c>
      <c r="B5" t="inlineStr">
        <is>
          <t>Stratford FF AY22 to 23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Private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1306.78</v>
      </c>
      <c r="P18" s="2" t="n">
        <v>390.38</v>
      </c>
      <c r="Q18" s="2" t="n">
        <v>-351.64</v>
      </c>
      <c r="AE18" s="10">
        <f>SUM(C18:AD18)</f>
        <v/>
      </c>
    </row>
    <row r="19">
      <c r="B19" t="inlineStr">
        <is>
          <t>Fringe 5990</t>
        </is>
      </c>
      <c r="O19" s="2" t="n">
        <v>591.71</v>
      </c>
      <c r="P19" s="2" t="n">
        <v>176.77</v>
      </c>
      <c r="Q19" s="2" t="n">
        <v>-159.22</v>
      </c>
      <c r="AE19" s="10">
        <f>SUM(C19:AD19)</f>
        <v/>
      </c>
    </row>
    <row r="20">
      <c r="B20" t="inlineStr">
        <is>
          <t>Travel 5004</t>
        </is>
      </c>
      <c r="O20" s="2" t="n">
        <v>71.76000000000001</v>
      </c>
      <c r="P20" s="2" t="n">
        <v>9.25</v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1223.53</v>
      </c>
      <c r="P28" s="2" t="n">
        <v>357.94</v>
      </c>
      <c r="Q28" s="2" t="n">
        <v>-317.25</v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EWD026</t>
        </is>
      </c>
    </row>
    <row r="4">
      <c r="A4" s="1" t="inlineStr">
        <is>
          <t>ROLLUP #</t>
        </is>
      </c>
      <c r="B4" t="inlineStr">
        <is>
          <t>750037</t>
        </is>
      </c>
    </row>
    <row r="5">
      <c r="A5" s="1" t="inlineStr">
        <is>
          <t>PROJECT NAME</t>
        </is>
      </c>
      <c r="B5" t="inlineStr">
        <is>
          <t>Momentive FlexPro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O18" s="2" t="n">
        <v>1564.24</v>
      </c>
      <c r="AE18" s="10">
        <f>SUM(C18:AD18)</f>
        <v/>
      </c>
    </row>
    <row r="19">
      <c r="B19" t="inlineStr">
        <is>
          <t>Fringe 5990</t>
        </is>
      </c>
      <c r="O19" s="2" t="n">
        <v>708.29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O28" s="2" t="n">
        <v>1411.24</v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EWD027</t>
        </is>
      </c>
    </row>
    <row r="4">
      <c r="A4" s="1" t="inlineStr">
        <is>
          <t>ROLLUP #</t>
        </is>
      </c>
      <c r="B4" t="inlineStr">
        <is>
          <t>750038</t>
        </is>
      </c>
    </row>
    <row r="5">
      <c r="A5" s="1" t="inlineStr">
        <is>
          <t>PROJECT NAME</t>
        </is>
      </c>
      <c r="B5" t="inlineStr">
        <is>
          <t>Ohlone Flex2Future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EWD-Gov Lic</t>
        </is>
      </c>
    </row>
    <row r="8">
      <c r="A8" s="1" t="inlineStr">
        <is>
          <t>SERVICE</t>
        </is>
      </c>
      <c r="B8" t="inlineStr">
        <is>
          <t>State or Local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E18" s="10">
        <f>SUM(C18:AD18)</f>
        <v/>
      </c>
    </row>
    <row r="19">
      <c r="B19" t="inlineStr">
        <is>
          <t>Fringe 5990</t>
        </is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E56"/>
  <sheetViews>
    <sheetView workbookViewId="0">
      <pane xSplit="2" ySplit="16" topLeftCell="C1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</cols>
  <sheetData>
    <row r="1">
      <c r="A1" s="1" t="inlineStr">
        <is>
          <t>NextFlex</t>
        </is>
      </c>
      <c r="B1" t="inlineStr"/>
    </row>
    <row r="2">
      <c r="A2" s="1" t="inlineStr">
        <is>
          <t>REPORTING GROUP - TYPE A</t>
        </is>
      </c>
      <c r="B2" t="inlineStr">
        <is>
          <t>WFD</t>
        </is>
      </c>
    </row>
    <row r="3">
      <c r="A3" s="1" t="inlineStr">
        <is>
          <t>SEQUENCE</t>
        </is>
      </c>
      <c r="B3" t="inlineStr">
        <is>
          <t>EWD028</t>
        </is>
      </c>
    </row>
    <row r="4">
      <c r="A4" s="1" t="inlineStr">
        <is>
          <t>ROLLUP #</t>
        </is>
      </c>
      <c r="B4" t="inlineStr">
        <is>
          <t>850047</t>
        </is>
      </c>
    </row>
    <row r="5">
      <c r="A5" s="1" t="inlineStr">
        <is>
          <t>PROJECT NAME</t>
        </is>
      </c>
      <c r="B5" t="inlineStr">
        <is>
          <t>CAST GoogleAI</t>
        </is>
      </c>
    </row>
    <row r="6">
      <c r="A6" s="1" t="inlineStr">
        <is>
          <t>TECHNICAL POINT OF CONTACT</t>
        </is>
      </c>
      <c r="B6" t="inlineStr"/>
    </row>
    <row r="7">
      <c r="A7" s="1" t="inlineStr">
        <is>
          <t>PROJECT TYPE</t>
        </is>
      </c>
      <c r="B7" t="inlineStr">
        <is>
          <t>EWD-Non Gov</t>
        </is>
      </c>
    </row>
    <row r="8">
      <c r="A8" s="1" t="inlineStr">
        <is>
          <t>SERVICE</t>
        </is>
      </c>
      <c r="B8" t="inlineStr">
        <is>
          <t>Industry</t>
        </is>
      </c>
    </row>
    <row r="9">
      <c r="A9" s="1" t="inlineStr">
        <is>
          <t>COLOR OF MONEY</t>
        </is>
      </c>
      <c r="B9" t="inlineStr"/>
    </row>
    <row r="10">
      <c r="A10" s="1" t="inlineStr">
        <is>
          <t>ACRN</t>
        </is>
      </c>
      <c r="B10" t="inlineStr"/>
    </row>
    <row r="11">
      <c r="A11" s="1" t="inlineStr">
        <is>
          <t>AVAILABLE FUNDS</t>
        </is>
      </c>
      <c r="B11" s="2" t="n">
        <v>0</v>
      </c>
    </row>
    <row r="15">
      <c r="C15" s="3" t="inlineStr">
        <is>
          <t>FYE 9/30/2020</t>
        </is>
      </c>
      <c r="D15" s="4" t="n"/>
      <c r="E15" s="4" t="n"/>
      <c r="F15" s="4" t="n"/>
      <c r="G15" s="5" t="inlineStr">
        <is>
          <t>FYE 9/30/2021</t>
        </is>
      </c>
      <c r="H15" s="6" t="n"/>
      <c r="I15" s="6" t="n"/>
      <c r="J15" s="6" t="n"/>
      <c r="K15" s="3" t="inlineStr">
        <is>
          <t>FYE 9/30/2022</t>
        </is>
      </c>
      <c r="L15" s="4" t="n"/>
      <c r="M15" s="4" t="n"/>
      <c r="N15" s="4" t="n"/>
      <c r="O15" s="5" t="inlineStr">
        <is>
          <t>FYE 9/30/2023</t>
        </is>
      </c>
      <c r="P15" s="6" t="n"/>
      <c r="Q15" s="6" t="n"/>
      <c r="R15" s="6" t="n"/>
      <c r="S15" s="3" t="inlineStr">
        <is>
          <t>FYE 9/30/2024</t>
        </is>
      </c>
      <c r="T15" s="4" t="n"/>
      <c r="U15" s="4" t="n"/>
      <c r="V15" s="4" t="n"/>
      <c r="W15" s="5" t="inlineStr">
        <is>
          <t>FYE 9/30/2025</t>
        </is>
      </c>
      <c r="X15" s="6" t="n"/>
      <c r="Y15" s="6" t="n"/>
      <c r="Z15" s="6" t="n"/>
      <c r="AA15" s="3" t="inlineStr">
        <is>
          <t>FYE 9/30/2026</t>
        </is>
      </c>
      <c r="AB15" s="4" t="n"/>
      <c r="AC15" s="4" t="n"/>
      <c r="AD15" s="4" t="n"/>
      <c r="AE15" s="7" t="inlineStr">
        <is>
          <t>Grand Total</t>
        </is>
      </c>
    </row>
    <row r="16">
      <c r="C16" s="3" t="inlineStr">
        <is>
          <t>Q1</t>
        </is>
      </c>
      <c r="D16" s="3" t="inlineStr">
        <is>
          <t>Q2</t>
        </is>
      </c>
      <c r="E16" s="3" t="inlineStr">
        <is>
          <t>Q3</t>
        </is>
      </c>
      <c r="F16" s="3" t="inlineStr">
        <is>
          <t>Q4</t>
        </is>
      </c>
      <c r="G16" s="5" t="inlineStr">
        <is>
          <t>Q1</t>
        </is>
      </c>
      <c r="H16" s="5" t="inlineStr">
        <is>
          <t>Q2</t>
        </is>
      </c>
      <c r="I16" s="5" t="inlineStr">
        <is>
          <t>Q3</t>
        </is>
      </c>
      <c r="J16" s="5" t="inlineStr">
        <is>
          <t>Q4</t>
        </is>
      </c>
      <c r="K16" s="3" t="inlineStr">
        <is>
          <t>Q1</t>
        </is>
      </c>
      <c r="L16" s="3" t="inlineStr">
        <is>
          <t>Q2</t>
        </is>
      </c>
      <c r="M16" s="3" t="inlineStr">
        <is>
          <t>Q3</t>
        </is>
      </c>
      <c r="N16" s="3" t="inlineStr">
        <is>
          <t>Q4</t>
        </is>
      </c>
      <c r="O16" s="5" t="inlineStr">
        <is>
          <t>Q1</t>
        </is>
      </c>
      <c r="P16" s="5" t="inlineStr">
        <is>
          <t>Q2</t>
        </is>
      </c>
      <c r="Q16" s="5" t="inlineStr">
        <is>
          <t>Q3</t>
        </is>
      </c>
      <c r="R16" s="5" t="inlineStr">
        <is>
          <t>Q4</t>
        </is>
      </c>
      <c r="S16" s="3" t="inlineStr">
        <is>
          <t>Q1</t>
        </is>
      </c>
      <c r="T16" s="3" t="inlineStr">
        <is>
          <t>Q2</t>
        </is>
      </c>
      <c r="U16" s="3" t="inlineStr">
        <is>
          <t>Q3</t>
        </is>
      </c>
      <c r="V16" s="3" t="inlineStr">
        <is>
          <t>Q4</t>
        </is>
      </c>
      <c r="W16" s="5" t="inlineStr">
        <is>
          <t>Q1</t>
        </is>
      </c>
      <c r="X16" s="5" t="inlineStr">
        <is>
          <t>Q2</t>
        </is>
      </c>
      <c r="Y16" s="5" t="inlineStr">
        <is>
          <t>Q3</t>
        </is>
      </c>
      <c r="Z16" s="5" t="inlineStr">
        <is>
          <t>Q4</t>
        </is>
      </c>
      <c r="AA16" s="3" t="inlineStr">
        <is>
          <t>Q1</t>
        </is>
      </c>
      <c r="AB16" s="3" t="inlineStr">
        <is>
          <t>Q2</t>
        </is>
      </c>
      <c r="AC16" s="3" t="inlineStr">
        <is>
          <t>Q3</t>
        </is>
      </c>
      <c r="AD16" s="3" t="inlineStr">
        <is>
          <t>Q4</t>
        </is>
      </c>
      <c r="AE16" s="8" t="n"/>
    </row>
    <row r="17">
      <c r="A17" s="9" t="inlineStr">
        <is>
          <t>ACTUALS</t>
        </is>
      </c>
      <c r="B17" t="inlineStr">
        <is>
          <t>Labor Hours statistical account</t>
        </is>
      </c>
      <c r="AE17" s="10">
        <f>SUM(C17:AD17)</f>
        <v/>
      </c>
    </row>
    <row r="18">
      <c r="B18" t="inlineStr">
        <is>
          <t>Labor Cost 5001</t>
        </is>
      </c>
      <c r="AA18" s="2" t="n">
        <v>1686.38</v>
      </c>
      <c r="AE18" s="10">
        <f>SUM(C18:AD18)</f>
        <v/>
      </c>
    </row>
    <row r="19">
      <c r="B19" t="inlineStr">
        <is>
          <t>Fringe 5990</t>
        </is>
      </c>
      <c r="AA19" s="2" t="n">
        <v>912.84</v>
      </c>
      <c r="AE19" s="10">
        <f>SUM(C19:AD19)</f>
        <v/>
      </c>
    </row>
    <row r="20">
      <c r="B20" t="inlineStr">
        <is>
          <t>Travel 5004</t>
        </is>
      </c>
      <c r="AE20" s="10">
        <f>SUM(C20:AD20)</f>
        <v/>
      </c>
    </row>
    <row r="21">
      <c r="B21" t="inlineStr">
        <is>
          <t>Subcontracting 5005</t>
        </is>
      </c>
      <c r="AE21" s="10">
        <f>SUM(C21:AD21)</f>
        <v/>
      </c>
    </row>
    <row r="22">
      <c r="B22" t="inlineStr">
        <is>
          <t>Consulting 5002</t>
        </is>
      </c>
      <c r="AE22" s="10">
        <f>SUM(C22:AD22)</f>
        <v/>
      </c>
    </row>
    <row r="23">
      <c r="B23" t="inlineStr">
        <is>
          <t>Equipment 5010</t>
        </is>
      </c>
      <c r="AE23" s="10">
        <f>SUM(C23:AD23)</f>
        <v/>
      </c>
    </row>
    <row r="24">
      <c r="B24" t="inlineStr">
        <is>
          <t>Equipment 5008</t>
        </is>
      </c>
      <c r="AE24" s="10">
        <f>SUM(C24:AD24)</f>
        <v/>
      </c>
    </row>
    <row r="25">
      <c r="B25" t="inlineStr">
        <is>
          <t>Other Direct Costs 5009</t>
        </is>
      </c>
      <c r="AE25" s="10">
        <f>SUM(C25:AD25)</f>
        <v/>
      </c>
    </row>
    <row r="26">
      <c r="B26" t="inlineStr">
        <is>
          <t>Material 5003</t>
        </is>
      </c>
      <c r="AE26" s="10">
        <f>SUM(C26:AD26)</f>
        <v/>
      </c>
    </row>
    <row r="27">
      <c r="B27" t="inlineStr">
        <is>
          <t>Sub K Overhead 5992</t>
        </is>
      </c>
      <c r="AE27" s="10">
        <f>SUM(C27:AD27)</f>
        <v/>
      </c>
    </row>
    <row r="28">
      <c r="B28" t="inlineStr">
        <is>
          <t>Sub K Overhead 5993</t>
        </is>
      </c>
      <c r="AE28" s="10">
        <f>SUM(C28:AD28)</f>
        <v/>
      </c>
    </row>
    <row r="29">
      <c r="B29" t="inlineStr">
        <is>
          <t>G&amp;A 5991</t>
        </is>
      </c>
      <c r="AA29" s="2" t="n">
        <v>2248.59</v>
      </c>
      <c r="AE29" s="10">
        <f>SUM(C29:AD29)</f>
        <v/>
      </c>
    </row>
    <row r="30">
      <c r="A30" s="9" t="inlineStr">
        <is>
          <t>ACTUALS Total</t>
        </is>
      </c>
      <c r="C30" s="10">
        <f>SUM(C18:C29)</f>
        <v/>
      </c>
      <c r="D30" s="10">
        <f>SUM(D18:D29)</f>
        <v/>
      </c>
      <c r="E30" s="10">
        <f>SUM(E18:E29)</f>
        <v/>
      </c>
      <c r="F30" s="10">
        <f>SUM(F18:F29)</f>
        <v/>
      </c>
      <c r="G30" s="10">
        <f>SUM(G18:G29)</f>
        <v/>
      </c>
      <c r="H30" s="10">
        <f>SUM(H18:H29)</f>
        <v/>
      </c>
      <c r="I30" s="10">
        <f>SUM(I18:I29)</f>
        <v/>
      </c>
      <c r="J30" s="10">
        <f>SUM(J18:J29)</f>
        <v/>
      </c>
      <c r="K30" s="10">
        <f>SUM(K18:K29)</f>
        <v/>
      </c>
      <c r="L30" s="10">
        <f>SUM(L18:L29)</f>
        <v/>
      </c>
      <c r="M30" s="10">
        <f>SUM(M18:M29)</f>
        <v/>
      </c>
      <c r="N30" s="10">
        <f>SUM(N18:N29)</f>
        <v/>
      </c>
      <c r="O30" s="10">
        <f>SUM(O18:O29)</f>
        <v/>
      </c>
      <c r="P30" s="10">
        <f>SUM(P18:P29)</f>
        <v/>
      </c>
      <c r="Q30" s="10">
        <f>SUM(Q18:Q29)</f>
        <v/>
      </c>
      <c r="R30" s="10">
        <f>SUM(R18:R29)</f>
        <v/>
      </c>
      <c r="S30" s="10">
        <f>SUM(S18:S29)</f>
        <v/>
      </c>
      <c r="T30" s="10">
        <f>SUM(T18:T29)</f>
        <v/>
      </c>
      <c r="U30" s="10">
        <f>SUM(U18:U29)</f>
        <v/>
      </c>
      <c r="V30" s="10">
        <f>SUM(V18:V29)</f>
        <v/>
      </c>
      <c r="W30" s="10">
        <f>SUM(W18:W29)</f>
        <v/>
      </c>
      <c r="X30" s="10">
        <f>SUM(X18:X29)</f>
        <v/>
      </c>
      <c r="Y30" s="10">
        <f>SUM(Y18:Y29)</f>
        <v/>
      </c>
      <c r="Z30" s="10">
        <f>SUM(Z18:Z29)</f>
        <v/>
      </c>
      <c r="AA30" s="10">
        <f>SUM(AA18:AA29)</f>
        <v/>
      </c>
      <c r="AB30" s="10">
        <f>SUM(AB18:AB29)</f>
        <v/>
      </c>
      <c r="AC30" s="10">
        <f>SUM(AC18:AC29)</f>
        <v/>
      </c>
      <c r="AD30" s="10">
        <f>SUM(AD18:AD29)</f>
        <v/>
      </c>
      <c r="AE30" s="10">
        <f>SUM(AE18:AE29)</f>
        <v/>
      </c>
    </row>
    <row r="31">
      <c r="A31" s="9" t="inlineStr">
        <is>
          <t>BUDGETED</t>
        </is>
      </c>
      <c r="B31" t="inlineStr">
        <is>
          <t>Labor Hours statistical account</t>
        </is>
      </c>
      <c r="AE31" s="10">
        <f>SUM(C31:AD31)</f>
        <v/>
      </c>
    </row>
    <row r="32">
      <c r="B32" t="inlineStr">
        <is>
          <t>Labor Cost 5001</t>
        </is>
      </c>
      <c r="AE32" s="10">
        <f>SUM(C32:AD32)</f>
        <v/>
      </c>
    </row>
    <row r="33">
      <c r="B33" t="inlineStr">
        <is>
          <t>Fringe 5990</t>
        </is>
      </c>
      <c r="AE33" s="10">
        <f>SUM(C33:AD33)</f>
        <v/>
      </c>
    </row>
    <row r="34">
      <c r="B34" t="inlineStr">
        <is>
          <t>Travel 5004</t>
        </is>
      </c>
      <c r="AE34" s="10">
        <f>SUM(C34:AD34)</f>
        <v/>
      </c>
    </row>
    <row r="35">
      <c r="B35" t="inlineStr">
        <is>
          <t>Subcontracting 5005</t>
        </is>
      </c>
      <c r="AE35" s="10">
        <f>SUM(C35:AD35)</f>
        <v/>
      </c>
    </row>
    <row r="36">
      <c r="B36" t="inlineStr">
        <is>
          <t>Consulting 5002</t>
        </is>
      </c>
      <c r="AE36" s="10">
        <f>SUM(C36:AD36)</f>
        <v/>
      </c>
    </row>
    <row r="37">
      <c r="B37" t="inlineStr">
        <is>
          <t>Equipment 5010</t>
        </is>
      </c>
      <c r="AE37" s="10">
        <f>SUM(C37:AD37)</f>
        <v/>
      </c>
    </row>
    <row r="38">
      <c r="B38" t="inlineStr">
        <is>
          <t>Equipment 5008</t>
        </is>
      </c>
      <c r="AE38" s="10">
        <f>SUM(C38:AD38)</f>
        <v/>
      </c>
    </row>
    <row r="39">
      <c r="B39" t="inlineStr">
        <is>
          <t>Other Direct Costs 5009</t>
        </is>
      </c>
      <c r="AE39" s="10">
        <f>SUM(C39:AD39)</f>
        <v/>
      </c>
    </row>
    <row r="40">
      <c r="B40" t="inlineStr">
        <is>
          <t>Material 5003</t>
        </is>
      </c>
      <c r="AE40" s="10">
        <f>SUM(C40:AD40)</f>
        <v/>
      </c>
    </row>
    <row r="41">
      <c r="B41" t="inlineStr">
        <is>
          <t>Sub K Overhead 5992</t>
        </is>
      </c>
      <c r="AE41" s="10">
        <f>SUM(C41:AD41)</f>
        <v/>
      </c>
    </row>
    <row r="42">
      <c r="B42" t="inlineStr">
        <is>
          <t>Sub K Overhead 5993</t>
        </is>
      </c>
      <c r="AE42" s="10">
        <f>SUM(C42:AD42)</f>
        <v/>
      </c>
    </row>
    <row r="43">
      <c r="B43" t="inlineStr">
        <is>
          <t>G&amp;A 5991</t>
        </is>
      </c>
      <c r="AE43" s="10">
        <f>SUM(C43:AD43)</f>
        <v/>
      </c>
    </row>
    <row r="44">
      <c r="A44" s="9" t="inlineStr">
        <is>
          <t>BUDGETED Total</t>
        </is>
      </c>
      <c r="C44" s="10">
        <f>SUM(C32:C43)</f>
        <v/>
      </c>
      <c r="D44" s="10">
        <f>SUM(D32:D43)</f>
        <v/>
      </c>
      <c r="E44" s="10">
        <f>SUM(E32:E43)</f>
        <v/>
      </c>
      <c r="F44" s="10">
        <f>SUM(F32:F43)</f>
        <v/>
      </c>
      <c r="G44" s="10">
        <f>SUM(G32:G43)</f>
        <v/>
      </c>
      <c r="H44" s="10">
        <f>SUM(H32:H43)</f>
        <v/>
      </c>
      <c r="I44" s="10">
        <f>SUM(I32:I43)</f>
        <v/>
      </c>
      <c r="J44" s="10">
        <f>SUM(J32:J43)</f>
        <v/>
      </c>
      <c r="K44" s="10">
        <f>SUM(K32:K43)</f>
        <v/>
      </c>
      <c r="L44" s="10">
        <f>SUM(L32:L43)</f>
        <v/>
      </c>
      <c r="M44" s="10">
        <f>SUM(M32:M43)</f>
        <v/>
      </c>
      <c r="N44" s="10">
        <f>SUM(N32:N43)</f>
        <v/>
      </c>
      <c r="O44" s="10">
        <f>SUM(O32:O43)</f>
        <v/>
      </c>
      <c r="P44" s="10">
        <f>SUM(P32:P43)</f>
        <v/>
      </c>
      <c r="Q44" s="10">
        <f>SUM(Q32:Q43)</f>
        <v/>
      </c>
      <c r="R44" s="10">
        <f>SUM(R32:R43)</f>
        <v/>
      </c>
      <c r="S44" s="10">
        <f>SUM(S32:S43)</f>
        <v/>
      </c>
      <c r="T44" s="10">
        <f>SUM(T32:T43)</f>
        <v/>
      </c>
      <c r="U44" s="10">
        <f>SUM(U32:U43)</f>
        <v/>
      </c>
      <c r="V44" s="10">
        <f>SUM(V32:V43)</f>
        <v/>
      </c>
      <c r="W44" s="10">
        <f>SUM(W32:W43)</f>
        <v/>
      </c>
      <c r="X44" s="10">
        <f>SUM(X32:X43)</f>
        <v/>
      </c>
      <c r="Y44" s="10">
        <f>SUM(Y32:Y43)</f>
        <v/>
      </c>
      <c r="Z44" s="10">
        <f>SUM(Z32:Z43)</f>
        <v/>
      </c>
      <c r="AA44" s="10">
        <f>SUM(AA32:AA43)</f>
        <v/>
      </c>
      <c r="AB44" s="10">
        <f>SUM(AB32:AB43)</f>
        <v/>
      </c>
      <c r="AC44" s="10">
        <f>SUM(AC32:AC43)</f>
        <v/>
      </c>
      <c r="AD44" s="10">
        <f>SUM(AD32:AD43)</f>
        <v/>
      </c>
      <c r="AE44" s="10">
        <f>SUM(AE32:AE43)</f>
        <v/>
      </c>
    </row>
    <row r="45">
      <c r="A45" s="9" t="inlineStr">
        <is>
          <t>CONTRACTING</t>
        </is>
      </c>
      <c r="B45" t="inlineStr">
        <is>
          <t>Committed</t>
        </is>
      </c>
      <c r="AE45" s="10">
        <f>SUM(C45:AD45)</f>
        <v/>
      </c>
    </row>
    <row r="46">
      <c r="B46" t="inlineStr">
        <is>
          <t>Obligated</t>
        </is>
      </c>
      <c r="AE46" s="10">
        <f>SUM(C46:AD46)</f>
        <v/>
      </c>
    </row>
    <row r="47">
      <c r="B47" t="inlineStr">
        <is>
          <t>Expended</t>
        </is>
      </c>
      <c r="AE47" s="10">
        <f>SUM(C47:AD47)</f>
        <v/>
      </c>
    </row>
    <row r="48">
      <c r="B48" s="1" t="inlineStr">
        <is>
          <t>Remaining Cash</t>
        </is>
      </c>
      <c r="C48" s="2">
        <f>C46-C47</f>
        <v/>
      </c>
      <c r="D48" s="2">
        <f>D46-D47</f>
        <v/>
      </c>
      <c r="E48" s="2">
        <f>E46-E47</f>
        <v/>
      </c>
      <c r="F48" s="2">
        <f>F46-F47</f>
        <v/>
      </c>
      <c r="G48" s="2">
        <f>G46-G47</f>
        <v/>
      </c>
      <c r="H48" s="2">
        <f>H46-H47</f>
        <v/>
      </c>
      <c r="I48" s="2">
        <f>I46-I47</f>
        <v/>
      </c>
      <c r="J48" s="2">
        <f>J46-J47</f>
        <v/>
      </c>
      <c r="K48" s="2">
        <f>K46-K47</f>
        <v/>
      </c>
      <c r="L48" s="2">
        <f>L46-L47</f>
        <v/>
      </c>
      <c r="M48" s="2">
        <f>M46-M47</f>
        <v/>
      </c>
      <c r="N48" s="2">
        <f>N46-N47</f>
        <v/>
      </c>
      <c r="O48" s="2">
        <f>O46-O47</f>
        <v/>
      </c>
      <c r="P48" s="2">
        <f>P46-P47</f>
        <v/>
      </c>
      <c r="Q48" s="2">
        <f>Q46-Q47</f>
        <v/>
      </c>
      <c r="R48" s="2">
        <f>R46-R47</f>
        <v/>
      </c>
      <c r="S48" s="2">
        <f>S46-S47</f>
        <v/>
      </c>
      <c r="T48" s="2">
        <f>T46-T47</f>
        <v/>
      </c>
      <c r="U48" s="2">
        <f>U46-U47</f>
        <v/>
      </c>
      <c r="V48" s="2">
        <f>V46-V47</f>
        <v/>
      </c>
      <c r="W48" s="2">
        <f>W46-W47</f>
        <v/>
      </c>
      <c r="X48" s="2">
        <f>X46-X47</f>
        <v/>
      </c>
      <c r="Y48" s="2">
        <f>Y46-Y47</f>
        <v/>
      </c>
      <c r="Z48" s="2">
        <f>Z46-Z47</f>
        <v/>
      </c>
      <c r="AA48" s="2">
        <f>AA46-AA47</f>
        <v/>
      </c>
      <c r="AB48" s="2">
        <f>AB46-AB47</f>
        <v/>
      </c>
      <c r="AC48" s="2">
        <f>AC46-AC47</f>
        <v/>
      </c>
      <c r="AD48" s="2">
        <f>AD46-AD47</f>
        <v/>
      </c>
      <c r="AE48" s="10">
        <f>SUM(C48:AD48)</f>
        <v/>
      </c>
    </row>
    <row r="51">
      <c r="B51" s="11" t="inlineStr">
        <is>
          <t>Q1 FY20</t>
        </is>
      </c>
      <c r="C51" s="11" t="inlineStr">
        <is>
          <t>Q2 FY20</t>
        </is>
      </c>
      <c r="D51" s="11" t="inlineStr">
        <is>
          <t>Q3 FY20</t>
        </is>
      </c>
      <c r="E51" s="11" t="inlineStr">
        <is>
          <t>Q4 FY20</t>
        </is>
      </c>
      <c r="F51" s="11" t="inlineStr">
        <is>
          <t>Q1 FY21</t>
        </is>
      </c>
      <c r="G51" s="11" t="inlineStr">
        <is>
          <t>Q2 FY21</t>
        </is>
      </c>
      <c r="H51" s="11" t="inlineStr">
        <is>
          <t>Q3 FY21</t>
        </is>
      </c>
      <c r="I51" s="11" t="inlineStr">
        <is>
          <t>Q4 FY21</t>
        </is>
      </c>
      <c r="J51" s="11" t="inlineStr">
        <is>
          <t>Q1 FY22</t>
        </is>
      </c>
      <c r="K51" s="11" t="inlineStr">
        <is>
          <t>Q2 FY22</t>
        </is>
      </c>
      <c r="L51" s="11" t="inlineStr">
        <is>
          <t>Q3 FY22</t>
        </is>
      </c>
      <c r="M51" s="11" t="inlineStr">
        <is>
          <t>Q4 FY22</t>
        </is>
      </c>
      <c r="N51" s="11" t="inlineStr">
        <is>
          <t>Q1 FY23</t>
        </is>
      </c>
      <c r="O51" s="11" t="inlineStr">
        <is>
          <t>Q2 FY23</t>
        </is>
      </c>
      <c r="P51" s="11" t="inlineStr">
        <is>
          <t>Q3 FY23</t>
        </is>
      </c>
      <c r="Q51" s="11" t="inlineStr">
        <is>
          <t>Q4 FY23</t>
        </is>
      </c>
      <c r="R51" s="11" t="inlineStr">
        <is>
          <t>Q1 FY24</t>
        </is>
      </c>
      <c r="S51" s="11" t="inlineStr">
        <is>
          <t>Q2 FY24</t>
        </is>
      </c>
      <c r="T51" s="11" t="inlineStr">
        <is>
          <t>Q3 FY24</t>
        </is>
      </c>
      <c r="U51" s="11" t="inlineStr">
        <is>
          <t>Q4 FY24</t>
        </is>
      </c>
      <c r="V51" s="11" t="inlineStr">
        <is>
          <t>Q1 FY25</t>
        </is>
      </c>
      <c r="W51" s="11" t="inlineStr">
        <is>
          <t>Q2 FY25</t>
        </is>
      </c>
      <c r="X51" s="11" t="inlineStr">
        <is>
          <t>Q3 FY25</t>
        </is>
      </c>
      <c r="Y51" s="11" t="inlineStr">
        <is>
          <t>Q4 FY25</t>
        </is>
      </c>
      <c r="Z51" s="11" t="inlineStr">
        <is>
          <t>Q1 FY26</t>
        </is>
      </c>
      <c r="AA51" s="11" t="inlineStr">
        <is>
          <t>Q2 FY26</t>
        </is>
      </c>
      <c r="AB51" s="11" t="inlineStr">
        <is>
          <t>Q3 FY26</t>
        </is>
      </c>
      <c r="AC51" s="11" t="inlineStr">
        <is>
          <t>Q4 FY26</t>
        </is>
      </c>
    </row>
    <row r="52">
      <c r="A52" s="1" t="inlineStr">
        <is>
          <t>Total Committed</t>
        </is>
      </c>
      <c r="B52" s="2">
        <f>C45</f>
        <v/>
      </c>
      <c r="C52" s="2">
        <f>D45+B52</f>
        <v/>
      </c>
      <c r="D52" s="2">
        <f>E45+C52</f>
        <v/>
      </c>
      <c r="E52" s="2">
        <f>F45+D52</f>
        <v/>
      </c>
      <c r="F52" s="2">
        <f>G45+E52</f>
        <v/>
      </c>
      <c r="G52" s="2">
        <f>H45+F52</f>
        <v/>
      </c>
      <c r="H52" s="2">
        <f>I45+G52</f>
        <v/>
      </c>
      <c r="I52" s="2">
        <f>J45+H52</f>
        <v/>
      </c>
      <c r="J52" s="2">
        <f>K45+I52</f>
        <v/>
      </c>
      <c r="K52" s="2">
        <f>L45+J52</f>
        <v/>
      </c>
      <c r="L52" s="2">
        <f>M45+K52</f>
        <v/>
      </c>
      <c r="M52" s="2">
        <f>N45+L52</f>
        <v/>
      </c>
      <c r="N52" s="2">
        <f>O45+M52</f>
        <v/>
      </c>
      <c r="O52" s="2">
        <f>P45+N52</f>
        <v/>
      </c>
      <c r="P52" s="2">
        <f>Q45+O52</f>
        <v/>
      </c>
      <c r="Q52" s="2">
        <f>R45+P52</f>
        <v/>
      </c>
      <c r="R52" s="2">
        <f>S45+Q52</f>
        <v/>
      </c>
      <c r="S52" s="2">
        <f>T45+R52</f>
        <v/>
      </c>
      <c r="T52" s="2">
        <f>U45+S52</f>
        <v/>
      </c>
      <c r="U52" s="2">
        <f>V45+T52</f>
        <v/>
      </c>
      <c r="V52" s="2">
        <f>W45+U52</f>
        <v/>
      </c>
      <c r="W52" s="2">
        <f>X45+V52</f>
        <v/>
      </c>
      <c r="X52" s="2">
        <f>Y45+W52</f>
        <v/>
      </c>
      <c r="Y52" s="2">
        <f>Z45+X52</f>
        <v/>
      </c>
      <c r="Z52" s="2">
        <f>AA45+Y52</f>
        <v/>
      </c>
      <c r="AA52" s="2">
        <f>AB45+Z52</f>
        <v/>
      </c>
      <c r="AB52" s="2">
        <f>AC45+AA52</f>
        <v/>
      </c>
      <c r="AC52" s="2">
        <f>AD45+AB52</f>
        <v/>
      </c>
    </row>
    <row r="53">
      <c r="A53" s="1" t="inlineStr">
        <is>
          <t>Total Obligated</t>
        </is>
      </c>
      <c r="B53" s="2">
        <f>C46</f>
        <v/>
      </c>
      <c r="C53" s="2">
        <f>D46+B53</f>
        <v/>
      </c>
      <c r="D53" s="2">
        <f>E46+C53</f>
        <v/>
      </c>
      <c r="E53" s="2">
        <f>F46+D53</f>
        <v/>
      </c>
      <c r="F53" s="2">
        <f>G46+E53</f>
        <v/>
      </c>
      <c r="G53" s="2">
        <f>H46+F53</f>
        <v/>
      </c>
      <c r="H53" s="2">
        <f>I46+G53</f>
        <v/>
      </c>
      <c r="I53" s="2">
        <f>J46+H53</f>
        <v/>
      </c>
      <c r="J53" s="2">
        <f>K46+I53</f>
        <v/>
      </c>
      <c r="K53" s="2">
        <f>L46+J53</f>
        <v/>
      </c>
      <c r="L53" s="2">
        <f>M46+K53</f>
        <v/>
      </c>
      <c r="M53" s="2">
        <f>N46+L53</f>
        <v/>
      </c>
      <c r="N53" s="2">
        <f>O46+M53</f>
        <v/>
      </c>
      <c r="O53" s="2">
        <f>P46+N53</f>
        <v/>
      </c>
      <c r="P53" s="2">
        <f>Q46+O53</f>
        <v/>
      </c>
      <c r="Q53" s="2">
        <f>R46+P53</f>
        <v/>
      </c>
      <c r="R53" s="2">
        <f>S46+Q53</f>
        <v/>
      </c>
      <c r="S53" s="2">
        <f>T46+R53</f>
        <v/>
      </c>
      <c r="T53" s="2">
        <f>U46+S53</f>
        <v/>
      </c>
      <c r="U53" s="2">
        <f>V46+T53</f>
        <v/>
      </c>
      <c r="V53" s="2">
        <f>W46+U53</f>
        <v/>
      </c>
      <c r="W53" s="2">
        <f>X46+V53</f>
        <v/>
      </c>
      <c r="X53" s="2">
        <f>Y46+W53</f>
        <v/>
      </c>
      <c r="Y53" s="2">
        <f>Z46+X53</f>
        <v/>
      </c>
      <c r="Z53" s="2">
        <f>AA46+Y53</f>
        <v/>
      </c>
      <c r="AA53" s="2">
        <f>AB46+Z53</f>
        <v/>
      </c>
      <c r="AB53" s="2">
        <f>AC46+AA53</f>
        <v/>
      </c>
      <c r="AC53" s="2">
        <f>AD46+AB53</f>
        <v/>
      </c>
    </row>
    <row r="54">
      <c r="A54" s="1" t="inlineStr">
        <is>
          <t>Total Expended</t>
        </is>
      </c>
      <c r="B54" s="2">
        <f>C47</f>
        <v/>
      </c>
      <c r="C54" s="2">
        <f>D47+B54</f>
        <v/>
      </c>
      <c r="D54" s="2">
        <f>E47+C54</f>
        <v/>
      </c>
      <c r="E54" s="2">
        <f>F47+D54</f>
        <v/>
      </c>
      <c r="F54" s="2">
        <f>G47+E54</f>
        <v/>
      </c>
      <c r="G54" s="2">
        <f>H47+F54</f>
        <v/>
      </c>
      <c r="H54" s="2">
        <f>I47+G54</f>
        <v/>
      </c>
      <c r="I54" s="2">
        <f>J47+H54</f>
        <v/>
      </c>
      <c r="J54" s="2">
        <f>K47+I54</f>
        <v/>
      </c>
      <c r="K54" s="2">
        <f>L47+J54</f>
        <v/>
      </c>
      <c r="L54" s="2">
        <f>M47+K54</f>
        <v/>
      </c>
      <c r="M54" s="2">
        <f>N47+L54</f>
        <v/>
      </c>
      <c r="N54" s="2">
        <f>O47+M54</f>
        <v/>
      </c>
      <c r="O54" s="2">
        <f>P47+N54</f>
        <v/>
      </c>
      <c r="P54" s="2">
        <f>Q47+O54</f>
        <v/>
      </c>
      <c r="Q54" s="2">
        <f>R47+P54</f>
        <v/>
      </c>
      <c r="R54" s="2">
        <f>S47+Q54</f>
        <v/>
      </c>
      <c r="S54" s="2">
        <f>T47+R54</f>
        <v/>
      </c>
      <c r="T54" s="2">
        <f>U47+S54</f>
        <v/>
      </c>
      <c r="U54" s="2">
        <f>V47+T54</f>
        <v/>
      </c>
      <c r="V54" s="2">
        <f>W47+U54</f>
        <v/>
      </c>
      <c r="W54" s="2">
        <f>X47+V54</f>
        <v/>
      </c>
      <c r="X54" s="2">
        <f>Y47+W54</f>
        <v/>
      </c>
      <c r="Y54" s="2">
        <f>Z47+X54</f>
        <v/>
      </c>
      <c r="Z54" s="2">
        <f>AA47+Y54</f>
        <v/>
      </c>
      <c r="AA54" s="2">
        <f>AB47+Z54</f>
        <v/>
      </c>
      <c r="AB54" s="2">
        <f>AC47+AA54</f>
        <v/>
      </c>
      <c r="AC54" s="2">
        <f>AD47+AB54</f>
        <v/>
      </c>
    </row>
    <row r="55">
      <c r="A55" s="1" t="inlineStr">
        <is>
          <t>Budgeted Plan</t>
        </is>
      </c>
      <c r="B55" s="2">
        <f>C44</f>
        <v/>
      </c>
      <c r="C55" s="2">
        <f>D44+B55</f>
        <v/>
      </c>
      <c r="D55" s="2">
        <f>E44+C55</f>
        <v/>
      </c>
      <c r="E55" s="2">
        <f>F44+D55</f>
        <v/>
      </c>
      <c r="F55" s="2">
        <f>G44+E55</f>
        <v/>
      </c>
      <c r="G55" s="2">
        <f>H44+F55</f>
        <v/>
      </c>
      <c r="H55" s="2">
        <f>I44+G55</f>
        <v/>
      </c>
      <c r="I55" s="2">
        <f>J44+H55</f>
        <v/>
      </c>
      <c r="J55" s="2">
        <f>K44+I55</f>
        <v/>
      </c>
      <c r="K55" s="2">
        <f>L44+J55</f>
        <v/>
      </c>
      <c r="L55" s="2">
        <f>M44+K55</f>
        <v/>
      </c>
      <c r="M55" s="2">
        <f>N44+L55</f>
        <v/>
      </c>
      <c r="N55" s="2">
        <f>O44+M55</f>
        <v/>
      </c>
      <c r="O55" s="2">
        <f>P44+N55</f>
        <v/>
      </c>
      <c r="P55" s="2">
        <f>Q44+O55</f>
        <v/>
      </c>
      <c r="Q55" s="2">
        <f>R44+P55</f>
        <v/>
      </c>
      <c r="R55" s="2">
        <f>S44+Q55</f>
        <v/>
      </c>
      <c r="S55" s="2">
        <f>T44+R55</f>
        <v/>
      </c>
      <c r="T55" s="2">
        <f>U44+S55</f>
        <v/>
      </c>
      <c r="U55" s="2">
        <f>V44+T55</f>
        <v/>
      </c>
      <c r="V55" s="2">
        <f>W44+U55</f>
        <v/>
      </c>
      <c r="W55" s="2">
        <f>X44+V55</f>
        <v/>
      </c>
      <c r="X55" s="2">
        <f>Y44+W55</f>
        <v/>
      </c>
      <c r="Y55" s="2">
        <f>Z44+X55</f>
        <v/>
      </c>
      <c r="Z55" s="2">
        <f>AA44+Y55</f>
        <v/>
      </c>
      <c r="AA55" s="2">
        <f>AB44+Z55</f>
        <v/>
      </c>
      <c r="AB55" s="2">
        <f>AC44+AA55</f>
        <v/>
      </c>
      <c r="AC55" s="2">
        <f>AD44+AB55</f>
        <v/>
      </c>
    </row>
    <row r="56">
      <c r="A56" s="1" t="inlineStr">
        <is>
          <t>Actual</t>
        </is>
      </c>
      <c r="B56" s="2">
        <f>C30</f>
        <v/>
      </c>
      <c r="C56" s="2">
        <f>D30+B56</f>
        <v/>
      </c>
      <c r="D56" s="2">
        <f>E30+C56</f>
        <v/>
      </c>
      <c r="E56" s="2">
        <f>F30+D56</f>
        <v/>
      </c>
      <c r="F56" s="2">
        <f>G30+E56</f>
        <v/>
      </c>
      <c r="G56" s="2">
        <f>H30+F56</f>
        <v/>
      </c>
      <c r="H56" s="2">
        <f>I30+G56</f>
        <v/>
      </c>
      <c r="I56" s="2">
        <f>J30+H56</f>
        <v/>
      </c>
      <c r="J56" s="2">
        <f>K30+I56</f>
        <v/>
      </c>
      <c r="K56" s="2">
        <f>L30+J56</f>
        <v/>
      </c>
      <c r="L56" s="2">
        <f>M30+K56</f>
        <v/>
      </c>
      <c r="M56" s="2">
        <f>N30+L56</f>
        <v/>
      </c>
      <c r="N56" s="2">
        <f>O30+M56</f>
        <v/>
      </c>
      <c r="O56" s="2">
        <f>P30+N56</f>
        <v/>
      </c>
      <c r="P56" s="2">
        <f>Q30+O56</f>
        <v/>
      </c>
      <c r="Q56" s="2">
        <f>R30+P56</f>
        <v/>
      </c>
      <c r="R56" s="2">
        <f>S30+Q56</f>
        <v/>
      </c>
      <c r="S56" s="2">
        <f>T30+R56</f>
        <v/>
      </c>
      <c r="T56" s="2">
        <f>U30+S56</f>
        <v/>
      </c>
      <c r="U56" s="2">
        <f>V30+T56</f>
        <v/>
      </c>
      <c r="V56" s="2">
        <f>W30+U56</f>
        <v/>
      </c>
      <c r="W56" s="2">
        <f>X30+V56</f>
        <v/>
      </c>
      <c r="X56" s="2">
        <f>Y30+W56</f>
        <v/>
      </c>
      <c r="Y56" s="2">
        <f>Z30+X56</f>
        <v/>
      </c>
      <c r="Z56" s="2">
        <f>AA30+Y56</f>
        <v/>
      </c>
      <c r="AA56" s="2">
        <f>AB30+Z56</f>
        <v/>
      </c>
      <c r="AB56" s="2">
        <f>AC30+AA56</f>
        <v/>
      </c>
      <c r="AC56" s="2">
        <f>AD30+AB56</f>
        <v/>
      </c>
    </row>
  </sheetData>
  <mergeCells count="7">
    <mergeCell ref="AA15:AD15"/>
    <mergeCell ref="C15:F15"/>
    <mergeCell ref="G15:J15"/>
    <mergeCell ref="K15:N15"/>
    <mergeCell ref="W15:Z15"/>
    <mergeCell ref="O15:R15"/>
    <mergeCell ref="S15:V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2026-04-21T05:30:26Z</dcterms:created>
  <dcterms:modified xsi:type="dcterms:W3CDTF">2026-04-21T06:05:06Z</dcterms:modified>
</cp:coreProperties>
</file>