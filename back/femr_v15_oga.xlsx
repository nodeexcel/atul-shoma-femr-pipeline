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A001" sheetId="1" state="visible" r:id="rId1"/>
    <sheet name="OGA002" sheetId="2" state="visible" r:id="rId2"/>
    <sheet name="OGA003" sheetId="3" state="visible" r:id="rId3"/>
    <sheet name="OGA004" sheetId="4" state="visible" r:id="rId4"/>
    <sheet name="OGA005" sheetId="5" state="visible" r:id="rId5"/>
    <sheet name="OGA006" sheetId="6" state="visible" r:id="rId6"/>
    <sheet name="OGA007" sheetId="7" state="visible" r:id="rId7"/>
    <sheet name="OGA008" sheetId="8" state="visible" r:id="rId8"/>
    <sheet name="OGA009" sheetId="9" state="visible" r:id="rId9"/>
    <sheet name="OGA010" sheetId="10" state="visible" r:id="rId10"/>
    <sheet name="OGA011" sheetId="11" state="visible" r:id="rId11"/>
    <sheet name="OGA012" sheetId="12" state="visible" r:id="rId12"/>
    <sheet name="OGA013" sheetId="13" state="visible" r:id="rId13"/>
    <sheet name="OGA014" sheetId="14" state="visible" r:id="rId14"/>
    <sheet name="OGA015" sheetId="15" state="visible" r:id="rId15"/>
    <sheet name="OGA016" sheetId="16" state="visible" r:id="rId16"/>
    <sheet name="OGA017" sheetId="17" state="visible" r:id="rId17"/>
    <sheet name="OGA018" sheetId="18" state="visible" r:id="rId18"/>
    <sheet name="OGA019" sheetId="19" state="visible" r:id="rId19"/>
    <sheet name="OGA020" sheetId="20" state="visible" r:id="rId20"/>
    <sheet name="OGA021" sheetId="21" state="visible" r:id="rId21"/>
    <sheet name="OGA022" sheetId="22" state="visible" r:id="rId22"/>
    <sheet name="OGA023" sheetId="23" state="visible" r:id="rId23"/>
    <sheet name="OGA024" sheetId="24" state="visible" r:id="rId24"/>
    <sheet name="OGA025" sheetId="25" state="visible" r:id="rId25"/>
    <sheet name="OGA026" sheetId="26" state="visible" r:id="rId26"/>
    <sheet name="OGA027" sheetId="27" state="visible" r:id="rId27"/>
    <sheet name="OGA028" sheetId="28" state="visible" r:id="rId28"/>
    <sheet name="OGA029" sheetId="29" state="visible" r:id="rId29"/>
    <sheet name="OGA030" sheetId="30" state="visible" r:id="rId30"/>
    <sheet name="OGA031" sheetId="31" state="visible" r:id="rId31"/>
    <sheet name="OGA032" sheetId="32" state="visible" r:id="rId32"/>
    <sheet name="OGA033" sheetId="33" state="visible" r:id="rId33"/>
    <sheet name="OGA034" sheetId="34" state="visible" r:id="rId34"/>
    <sheet name="OGA035" sheetId="35" state="visible" r:id="rId35"/>
    <sheet name="OGA036" sheetId="36" state="visible" r:id="rId36"/>
    <sheet name="OGA037" sheetId="37" state="visible" r:id="rId37"/>
    <sheet name="OGA038" sheetId="38" state="visible" r:id="rId38"/>
    <sheet name="OGA039" sheetId="39" state="visible" r:id="rId39"/>
    <sheet name="OGA040" sheetId="40" state="visible" r:id="rId40"/>
    <sheet name="OGA041" sheetId="41" state="visible" r:id="rId41"/>
    <sheet name="OGA042" sheetId="42" state="visible" r:id="rId42"/>
    <sheet name="OGA043" sheetId="43" state="visible" r:id="rId43"/>
    <sheet name="OGA044" sheetId="44" state="visible" r:id="rId44"/>
    <sheet name="OGA045" sheetId="45" state="visible" r:id="rId45"/>
    <sheet name="OGA046" sheetId="46" state="visible" r:id="rId46"/>
    <sheet name="OGA047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-500000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178257.43</v>
      </c>
      <c r="N18" s="2" t="n">
        <v>162618.93</v>
      </c>
      <c r="O18" s="2" t="n">
        <v>33966.2</v>
      </c>
      <c r="P18" s="2" t="n">
        <v>32139.15</v>
      </c>
      <c r="Q18" s="2" t="n">
        <v>7245.29</v>
      </c>
      <c r="R18" s="2" t="n">
        <v>31329.97</v>
      </c>
      <c r="S18" s="2" t="n">
        <v>88151.39999999999</v>
      </c>
      <c r="T18" s="2" t="n">
        <v>80557.94</v>
      </c>
      <c r="U18" s="2" t="n">
        <v>12493.98</v>
      </c>
      <c r="V18" s="2" t="n">
        <v>18615.22</v>
      </c>
      <c r="W18" s="2" t="n">
        <v>57233.98</v>
      </c>
      <c r="X18" s="2" t="n">
        <v>40240.44</v>
      </c>
      <c r="Y18" s="2" t="n">
        <v>19939.12</v>
      </c>
      <c r="Z18" s="2" t="n">
        <v>11861.25</v>
      </c>
      <c r="AE18" s="10">
        <f>SUM(C18:AD18)</f>
        <v/>
      </c>
    </row>
    <row r="19">
      <c r="B19" t="inlineStr">
        <is>
          <t>Fringe 5990</t>
        </is>
      </c>
      <c r="J19" s="2" t="n">
        <v>70358.21000000001</v>
      </c>
      <c r="N19" s="2" t="n">
        <v>69796.03999999999</v>
      </c>
      <c r="O19" s="2" t="n">
        <v>15379.9</v>
      </c>
      <c r="P19" s="2" t="n">
        <v>14552.6</v>
      </c>
      <c r="Q19" s="2" t="n">
        <v>3280.65</v>
      </c>
      <c r="R19" s="2" t="n">
        <v>14186.22</v>
      </c>
      <c r="S19" s="2" t="n">
        <v>39914.96</v>
      </c>
      <c r="T19" s="2" t="n">
        <v>41234.26</v>
      </c>
      <c r="U19" s="2" t="n">
        <v>6009.61</v>
      </c>
      <c r="V19" s="2" t="n">
        <v>8953.92</v>
      </c>
      <c r="W19" s="2" t="n">
        <v>28765.79</v>
      </c>
      <c r="X19" s="2" t="n">
        <v>20224.84</v>
      </c>
      <c r="Y19" s="2" t="n">
        <v>10021.4</v>
      </c>
      <c r="Z19" s="2" t="n">
        <v>5961.46</v>
      </c>
      <c r="AE19" s="10">
        <f>SUM(C19:AD19)</f>
        <v/>
      </c>
    </row>
    <row r="20">
      <c r="B20" t="inlineStr">
        <is>
          <t>Travel 5004</t>
        </is>
      </c>
      <c r="N20" s="2" t="n">
        <v>3382.81</v>
      </c>
      <c r="AE20" s="10">
        <f>SUM(C20:AD20)</f>
        <v/>
      </c>
    </row>
    <row r="21">
      <c r="B21" t="inlineStr">
        <is>
          <t>Subcontracting 5005</t>
        </is>
      </c>
      <c r="J21" s="2" t="n">
        <v>146816</v>
      </c>
      <c r="P21" s="2" t="n">
        <v>240000</v>
      </c>
      <c r="Q21" s="2" t="n">
        <v>2452857</v>
      </c>
      <c r="R21" s="2" t="n">
        <v>1285647.41</v>
      </c>
      <c r="S21" s="2" t="n">
        <v>155287.67</v>
      </c>
      <c r="U21" s="2" t="n">
        <v>280000</v>
      </c>
      <c r="V21" s="2" t="n">
        <v>-170000</v>
      </c>
      <c r="Y21" s="2" t="n">
        <v>1096207.94</v>
      </c>
      <c r="Z21" s="2" t="n">
        <v>109504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5695</v>
      </c>
      <c r="N25" s="2" t="n">
        <v>263.2</v>
      </c>
      <c r="P25" s="2" t="n">
        <v>30.62</v>
      </c>
      <c r="S25" s="2" t="n">
        <v>6355.85</v>
      </c>
      <c r="T25" s="2" t="n">
        <v>1205.71</v>
      </c>
      <c r="V25" s="2" t="n">
        <v>172.26</v>
      </c>
      <c r="W25" s="2" t="n">
        <v>133.1</v>
      </c>
      <c r="X25" s="2" t="n">
        <v>186.35</v>
      </c>
      <c r="Y25" s="2" t="n">
        <v>71.18000000000001</v>
      </c>
      <c r="AE25" s="10">
        <f>SUM(C25:AD25)</f>
        <v/>
      </c>
    </row>
    <row r="26">
      <c r="B26" t="inlineStr">
        <is>
          <t>Material 5003</t>
        </is>
      </c>
      <c r="J26" s="2" t="n">
        <v>4422.86</v>
      </c>
      <c r="N26" s="2" t="n">
        <v>834.97</v>
      </c>
      <c r="O26" s="2" t="n">
        <v>1097.8</v>
      </c>
      <c r="P26" s="2" t="n">
        <v>2630.07</v>
      </c>
      <c r="Q26" s="2" t="n">
        <v>1905.74</v>
      </c>
      <c r="R26" s="2" t="n">
        <v>11348.83</v>
      </c>
      <c r="S26" s="2" t="n">
        <v>26849.89</v>
      </c>
      <c r="T26" s="2" t="n">
        <v>6453.51</v>
      </c>
      <c r="V26" s="2" t="n">
        <v>3141.81</v>
      </c>
      <c r="W26" s="2" t="n">
        <v>1965.5</v>
      </c>
      <c r="X26" s="2" t="n">
        <v>1107.44</v>
      </c>
      <c r="AE26" s="10">
        <f>SUM(C26:AD26)</f>
        <v/>
      </c>
    </row>
    <row r="27">
      <c r="B27" t="inlineStr">
        <is>
          <t>Sub K Overhead 5992</t>
        </is>
      </c>
      <c r="P27" s="2" t="n">
        <v>6792</v>
      </c>
      <c r="Q27" s="2" t="n">
        <v>69415.85000000001</v>
      </c>
      <c r="R27" s="2" t="n">
        <v>36383.82</v>
      </c>
      <c r="S27" s="2" t="n">
        <v>4394.64</v>
      </c>
      <c r="T27" s="2" t="n">
        <v>357.16</v>
      </c>
      <c r="U27" s="2" t="n">
        <v>8568</v>
      </c>
      <c r="V27" s="2" t="n">
        <v>-5202</v>
      </c>
      <c r="Y27" s="2" t="n">
        <v>32118.89</v>
      </c>
      <c r="Z27" s="2" t="n">
        <v>3208.47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142639.55</v>
      </c>
      <c r="N29" s="2" t="n">
        <v>305927.42</v>
      </c>
      <c r="O29" s="2" t="n">
        <v>73002.39999999999</v>
      </c>
      <c r="P29" s="2" t="n">
        <v>71422.88</v>
      </c>
      <c r="Q29" s="2" t="n">
        <v>17991.16</v>
      </c>
      <c r="R29" s="2" t="n">
        <v>82295.03999999999</v>
      </c>
      <c r="S29" s="2" t="n">
        <v>233392.99</v>
      </c>
      <c r="T29" s="2" t="n">
        <v>148588.6</v>
      </c>
      <c r="U29" s="2" t="n">
        <v>24311.87</v>
      </c>
      <c r="V29" s="2" t="n">
        <v>40577.47</v>
      </c>
      <c r="W29" s="2" t="n">
        <v>116985.83</v>
      </c>
      <c r="X29" s="2" t="n">
        <v>82009.88</v>
      </c>
      <c r="Y29" s="2" t="n">
        <v>39879.09</v>
      </c>
      <c r="Z29" s="2" t="n">
        <v>23666.78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80312.97</v>
      </c>
      <c r="I32" s="2" t="n">
        <v>80312.97</v>
      </c>
      <c r="J32" s="2" t="n">
        <v>26770.99</v>
      </c>
      <c r="L32" s="2" t="n">
        <v>17007.84</v>
      </c>
      <c r="M32" s="2" t="n">
        <v>51023.49</v>
      </c>
      <c r="N32" s="2" t="n">
        <v>38182.33</v>
      </c>
      <c r="O32" s="2" t="n">
        <v>31761.75</v>
      </c>
      <c r="P32" s="2" t="n">
        <v>31761.75</v>
      </c>
      <c r="Q32" s="2" t="n">
        <v>31761.75</v>
      </c>
      <c r="R32" s="2" t="n">
        <v>31763.75</v>
      </c>
      <c r="S32" s="2" t="n">
        <v>31761.75</v>
      </c>
      <c r="T32" s="2" t="n">
        <v>21174.5</v>
      </c>
      <c r="AE32" s="10">
        <f>SUM(C32:AD32)</f>
        <v/>
      </c>
    </row>
    <row r="33">
      <c r="B33" t="inlineStr">
        <is>
          <t>Fringe 5990</t>
        </is>
      </c>
      <c r="H33" s="2" t="n">
        <v>33394.14</v>
      </c>
      <c r="I33" s="2" t="n">
        <v>33394.14</v>
      </c>
      <c r="J33" s="2" t="n">
        <v>11131.38</v>
      </c>
      <c r="L33" s="2" t="n">
        <v>7701.57</v>
      </c>
      <c r="M33" s="2" t="n">
        <v>23104.71</v>
      </c>
      <c r="N33" s="2" t="n">
        <v>14382.99</v>
      </c>
      <c r="O33" s="2" t="n">
        <v>14382.99</v>
      </c>
      <c r="P33" s="2" t="n">
        <v>14382.99</v>
      </c>
      <c r="Q33" s="2" t="n">
        <v>14382.99</v>
      </c>
      <c r="R33" s="2" t="n">
        <v>14382.99</v>
      </c>
      <c r="S33" s="2" t="n">
        <v>14382.99</v>
      </c>
      <c r="T33" s="2" t="n">
        <v>9588.73</v>
      </c>
      <c r="AE33" s="10">
        <f>SUM(C33:AD33)</f>
        <v/>
      </c>
    </row>
    <row r="34">
      <c r="B34" t="inlineStr">
        <is>
          <t>Travel 5004</t>
        </is>
      </c>
      <c r="H34" s="2" t="n">
        <v>3600</v>
      </c>
      <c r="I34" s="2" t="n">
        <v>3600</v>
      </c>
      <c r="J34" s="2" t="n">
        <v>1200</v>
      </c>
      <c r="AE34" s="10">
        <f>SUM(C34:AD34)</f>
        <v/>
      </c>
    </row>
    <row r="35">
      <c r="B35" t="inlineStr">
        <is>
          <t>Subcontracting 5005</t>
        </is>
      </c>
      <c r="H35" s="2" t="n">
        <v>63875.37</v>
      </c>
      <c r="I35" s="2" t="n">
        <v>63875.37</v>
      </c>
      <c r="J35" s="2" t="n">
        <v>21291.79</v>
      </c>
      <c r="L35" s="2" t="n">
        <v>235395.99</v>
      </c>
      <c r="M35" s="2" t="n">
        <v>706187.97</v>
      </c>
      <c r="N35" s="2" t="n">
        <v>8333.33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90000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H40" s="2" t="n">
        <v>4285.71</v>
      </c>
      <c r="I40" s="2" t="n">
        <v>4285.71</v>
      </c>
      <c r="J40" s="2" t="n">
        <v>1428.58</v>
      </c>
      <c r="L40" s="2" t="n">
        <v>4583.34</v>
      </c>
      <c r="M40" s="2" t="n">
        <v>13750.02</v>
      </c>
      <c r="N40" s="2" t="n">
        <v>10694.46</v>
      </c>
      <c r="O40" s="2" t="n">
        <v>9166.68</v>
      </c>
      <c r="P40" s="2" t="n">
        <v>9166.68</v>
      </c>
      <c r="Q40" s="2" t="n">
        <v>9166.68</v>
      </c>
      <c r="R40" s="2" t="n">
        <v>9166.68</v>
      </c>
      <c r="S40" s="2" t="n">
        <v>9166.68</v>
      </c>
      <c r="T40" s="2" t="n">
        <v>6111.12</v>
      </c>
      <c r="AE40" s="10">
        <f>SUM(C40:AD40)</f>
        <v/>
      </c>
    </row>
    <row r="41">
      <c r="B41" t="inlineStr">
        <is>
          <t>Sub K Overhead 5992</t>
        </is>
      </c>
      <c r="L41" s="2" t="n">
        <v>6638.75</v>
      </c>
      <c r="M41" s="2" t="n">
        <v>19916.25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28817.49</v>
      </c>
      <c r="I43" s="2" t="n">
        <v>28817.49</v>
      </c>
      <c r="J43" s="2" t="n">
        <v>9605.860000000001</v>
      </c>
      <c r="L43" s="2" t="n">
        <v>47818.84</v>
      </c>
      <c r="M43" s="2" t="n">
        <v>143456.52</v>
      </c>
      <c r="N43" s="2" t="n">
        <v>90898.83</v>
      </c>
      <c r="O43" s="2" t="n">
        <v>90898.83</v>
      </c>
      <c r="P43" s="2" t="n">
        <v>90898.83</v>
      </c>
      <c r="Q43" s="2" t="n">
        <v>90898.83</v>
      </c>
      <c r="R43" s="2" t="n">
        <v>90898.83</v>
      </c>
      <c r="S43" s="2" t="n">
        <v>90898.83</v>
      </c>
      <c r="T43" s="2" t="n">
        <v>60589.33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OGA002</t>
        </is>
      </c>
    </row>
    <row r="4">
      <c r="A4" s="1" t="inlineStr">
        <is>
          <t>ROLLUP #</t>
        </is>
      </c>
      <c r="B4" t="inlineStr">
        <is>
          <t>2002</t>
        </is>
      </c>
    </row>
    <row r="5">
      <c r="A5" s="1" t="inlineStr">
        <is>
          <t>PROJECT NAME</t>
        </is>
      </c>
      <c r="B5" t="inlineStr">
        <is>
          <t>AFFOA Prototype Multi Domain Platoon  Phase II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SubK, 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18769.85</v>
      </c>
      <c r="P18" s="2" t="n">
        <v>15295.79</v>
      </c>
      <c r="Q18" s="2" t="n">
        <v>97312.67999999999</v>
      </c>
      <c r="R18" s="2" t="n">
        <v>137410.91</v>
      </c>
      <c r="S18" s="2" t="n">
        <v>121418.61</v>
      </c>
      <c r="T18" s="2" t="n">
        <v>101739.59</v>
      </c>
      <c r="U18" s="2" t="n">
        <v>20539.56</v>
      </c>
      <c r="V18" s="2" t="n">
        <v>-16283.86</v>
      </c>
      <c r="AE18" s="10">
        <f>SUM(C18:AD18)</f>
        <v/>
      </c>
    </row>
    <row r="19">
      <c r="B19" t="inlineStr">
        <is>
          <t>Fringe 5990</t>
        </is>
      </c>
      <c r="O19" s="2" t="n">
        <v>8498.99</v>
      </c>
      <c r="P19" s="2" t="n">
        <v>6925.96</v>
      </c>
      <c r="Q19" s="2" t="n">
        <v>44063.18</v>
      </c>
      <c r="R19" s="2" t="n">
        <v>62219.66</v>
      </c>
      <c r="S19" s="2" t="n">
        <v>54978.34</v>
      </c>
      <c r="T19" s="2" t="n">
        <v>52360.74</v>
      </c>
      <c r="U19" s="2" t="n">
        <v>9879.530000000001</v>
      </c>
      <c r="V19" s="2" t="n">
        <v>-7832.54</v>
      </c>
      <c r="AE19" s="10">
        <f>SUM(C19:AD19)</f>
        <v/>
      </c>
    </row>
    <row r="20">
      <c r="B20" t="inlineStr">
        <is>
          <t>Travel 5004</t>
        </is>
      </c>
      <c r="T20" s="2" t="n">
        <v>1565.81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211.2</v>
      </c>
      <c r="R25" s="2" t="n">
        <v>52.36</v>
      </c>
      <c r="S25" s="2" t="n">
        <v>224.82</v>
      </c>
      <c r="T25" s="2" t="n">
        <v>1087.76</v>
      </c>
      <c r="AE25" s="10">
        <f>SUM(C25:AD25)</f>
        <v/>
      </c>
    </row>
    <row r="26">
      <c r="B26" t="inlineStr">
        <is>
          <t>Material 5003</t>
        </is>
      </c>
      <c r="Q26" s="2" t="n">
        <v>5003.85</v>
      </c>
      <c r="R26" s="2" t="n">
        <v>5042.77</v>
      </c>
      <c r="S26" s="2" t="n">
        <v>94872.34</v>
      </c>
      <c r="T26" s="2" t="n">
        <v>9862.26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39463.46</v>
      </c>
      <c r="P29" s="2" t="n">
        <v>32159.28</v>
      </c>
      <c r="Q29" s="2" t="n">
        <v>212146.37</v>
      </c>
      <c r="R29" s="2" t="n">
        <v>296279.05</v>
      </c>
      <c r="S29" s="2" t="n">
        <v>392906.26</v>
      </c>
      <c r="T29" s="2" t="n">
        <v>182726.82</v>
      </c>
      <c r="U29" s="2" t="n">
        <v>39967.64</v>
      </c>
      <c r="V29" s="2" t="n">
        <v>-31686.53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56551.2</v>
      </c>
      <c r="R32" s="2" t="n">
        <v>56551.2</v>
      </c>
      <c r="S32" s="2" t="n">
        <v>56551.2</v>
      </c>
      <c r="T32" s="2" t="n">
        <v>56551.2</v>
      </c>
      <c r="U32" s="2" t="n">
        <v>56551.2</v>
      </c>
      <c r="V32" s="2" t="n">
        <v>56551.2</v>
      </c>
      <c r="W32" s="2" t="n">
        <v>56551.2</v>
      </c>
      <c r="X32" s="2" t="n">
        <v>56551.2</v>
      </c>
      <c r="AE32" s="10">
        <f>SUM(C32:AD32)</f>
        <v/>
      </c>
    </row>
    <row r="33">
      <c r="B33" t="inlineStr">
        <is>
          <t>Fringe 5990</t>
        </is>
      </c>
      <c r="Q33" s="2" t="n">
        <v>25606.38</v>
      </c>
      <c r="R33" s="2" t="n">
        <v>25606.38</v>
      </c>
      <c r="S33" s="2" t="n">
        <v>25606.38</v>
      </c>
      <c r="T33" s="2" t="n">
        <v>25606.38</v>
      </c>
      <c r="U33" s="2" t="n">
        <v>25606.38</v>
      </c>
      <c r="V33" s="2" t="n">
        <v>25606.38</v>
      </c>
      <c r="W33" s="2" t="n">
        <v>25606.38</v>
      </c>
      <c r="X33" s="2" t="n">
        <v>25606.38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R38" s="2" t="n">
        <v>60000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20000.01</v>
      </c>
      <c r="R40" s="2" t="n">
        <v>39999.99</v>
      </c>
      <c r="S40" s="2" t="n">
        <v>39999.99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147842.43</v>
      </c>
      <c r="R43" s="2" t="n">
        <v>147842.43</v>
      </c>
      <c r="S43" s="2" t="n">
        <v>147842.43</v>
      </c>
      <c r="T43" s="2" t="n">
        <v>147842.43</v>
      </c>
      <c r="U43" s="2" t="n">
        <v>147842.43</v>
      </c>
      <c r="V43" s="2" t="n">
        <v>147842.43</v>
      </c>
      <c r="W43" s="2" t="n">
        <v>147842.43</v>
      </c>
      <c r="X43" s="2" t="n">
        <v>147842.43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OGA003</t>
        </is>
      </c>
    </row>
    <row r="4">
      <c r="A4" s="1" t="inlineStr">
        <is>
          <t>ROLLUP #</t>
        </is>
      </c>
      <c r="B4" t="inlineStr">
        <is>
          <t>2003</t>
        </is>
      </c>
    </row>
    <row r="5">
      <c r="A5" s="1" t="inlineStr">
        <is>
          <t>PROJECT NAME</t>
        </is>
      </c>
      <c r="B5" t="inlineStr">
        <is>
          <t>DMCS Cadence CA Grant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SubK, OGA-Tech SubK, Tech Subk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23895.67</v>
      </c>
      <c r="N18" s="2" t="n">
        <v>112569.86</v>
      </c>
      <c r="O18" s="2" t="n">
        <v>21144.51</v>
      </c>
      <c r="P18" s="2" t="n">
        <v>144.23</v>
      </c>
      <c r="AE18" s="10">
        <f>SUM(C18:AD18)</f>
        <v/>
      </c>
    </row>
    <row r="19">
      <c r="B19" t="inlineStr">
        <is>
          <t>Fringe 5990</t>
        </is>
      </c>
      <c r="J19" s="2" t="n">
        <v>9431.610000000001</v>
      </c>
      <c r="N19" s="2" t="n">
        <v>48314.94</v>
      </c>
      <c r="O19" s="2" t="n">
        <v>9574.219999999999</v>
      </c>
      <c r="P19" s="2" t="n">
        <v>65.31</v>
      </c>
      <c r="AE19" s="10">
        <f>SUM(C19:AD19)</f>
        <v/>
      </c>
    </row>
    <row r="20">
      <c r="B20" t="inlineStr">
        <is>
          <t>Travel 5004</t>
        </is>
      </c>
      <c r="N20" s="2" t="n">
        <v>972.0700000000001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5600</v>
      </c>
      <c r="N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3807.59</v>
      </c>
      <c r="N25" s="2" t="n">
        <v>7552.3</v>
      </c>
      <c r="O25" s="2" t="n">
        <v>70</v>
      </c>
      <c r="AE25" s="10">
        <f>SUM(C25:AD25)</f>
        <v/>
      </c>
    </row>
    <row r="26">
      <c r="B26" t="inlineStr">
        <is>
          <t>Material 5003</t>
        </is>
      </c>
      <c r="J26" s="2" t="n">
        <v>1906.29</v>
      </c>
      <c r="N26" s="2" t="n">
        <v>14048.59</v>
      </c>
      <c r="O26" s="2" t="n">
        <v>5698.28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24133.01</v>
      </c>
      <c r="N29" s="2" t="n">
        <v>252827.52</v>
      </c>
      <c r="O29" s="2" t="n">
        <v>52804.02</v>
      </c>
      <c r="P29" s="2" t="n">
        <v>303.24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190795.52</v>
      </c>
      <c r="AE32" s="10">
        <f>SUM(C32:AD32)</f>
        <v/>
      </c>
    </row>
    <row r="33">
      <c r="B33" t="inlineStr">
        <is>
          <t>Fringe 5990</t>
        </is>
      </c>
      <c r="F33" s="2" t="n">
        <v>67458.33</v>
      </c>
      <c r="AE33" s="10">
        <f>SUM(C33:AD33)</f>
        <v/>
      </c>
    </row>
    <row r="34">
      <c r="B34" t="inlineStr">
        <is>
          <t>Travel 5004</t>
        </is>
      </c>
      <c r="F34" s="2" t="n">
        <v>972.0700000000001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F36" s="2" t="n">
        <v>17920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F39" s="2" t="n">
        <v>11429.89</v>
      </c>
      <c r="AE39" s="10">
        <f>SUM(C39:AD39)</f>
        <v/>
      </c>
    </row>
    <row r="40">
      <c r="B40" t="inlineStr">
        <is>
          <t>Material 5003</t>
        </is>
      </c>
      <c r="F40" s="2" t="n">
        <v>21652.52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292477.42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OGA004</t>
        </is>
      </c>
    </row>
    <row r="4">
      <c r="A4" s="1" t="inlineStr">
        <is>
          <t>ROLLUP #</t>
        </is>
      </c>
      <c r="B4" t="inlineStr">
        <is>
          <t>2004</t>
        </is>
      </c>
    </row>
    <row r="5">
      <c r="A5" s="1" t="inlineStr">
        <is>
          <t>PROJECT NAME</t>
        </is>
      </c>
      <c r="B5" t="inlineStr">
        <is>
          <t>Defense Manufacturing Community Special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Prime, OGA-Tech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10095.05</v>
      </c>
      <c r="S18" s="2" t="n">
        <v>2876.74</v>
      </c>
      <c r="T18" s="2" t="n">
        <v>1812.55</v>
      </c>
      <c r="U18" s="2" t="n">
        <v>9663.75</v>
      </c>
      <c r="V18" s="2" t="n">
        <v>3212.86</v>
      </c>
      <c r="W18" s="2" t="n">
        <v>3854.96</v>
      </c>
      <c r="X18" s="2" t="n">
        <v>7602.14</v>
      </c>
      <c r="Y18" s="2" t="n">
        <v>26158.7</v>
      </c>
      <c r="Z18" s="2" t="n">
        <v>20442.06</v>
      </c>
      <c r="AA18" s="2" t="n">
        <v>15231.38</v>
      </c>
      <c r="AB18" s="2" t="n">
        <v>10551.11</v>
      </c>
      <c r="AE18" s="10">
        <f>SUM(C18:AD18)</f>
        <v/>
      </c>
    </row>
    <row r="19">
      <c r="B19" t="inlineStr">
        <is>
          <t>Fringe 5990</t>
        </is>
      </c>
      <c r="R19" s="2" t="n">
        <v>4571.03</v>
      </c>
      <c r="S19" s="2" t="n">
        <v>1302.62</v>
      </c>
      <c r="T19" s="2" t="n">
        <v>952.97</v>
      </c>
      <c r="U19" s="2" t="n">
        <v>4648.26</v>
      </c>
      <c r="V19" s="2" t="n">
        <v>1545.37</v>
      </c>
      <c r="W19" s="2" t="n">
        <v>1937.5</v>
      </c>
      <c r="X19" s="2" t="n">
        <v>3820.83</v>
      </c>
      <c r="Y19" s="2" t="n">
        <v>13147.35</v>
      </c>
      <c r="Z19" s="2" t="n">
        <v>10274.19</v>
      </c>
      <c r="AA19" s="2" t="n">
        <v>8244.75</v>
      </c>
      <c r="AB19" s="2" t="n">
        <v>5453.31</v>
      </c>
      <c r="AE19" s="10">
        <f>SUM(C19:AD19)</f>
        <v/>
      </c>
    </row>
    <row r="20">
      <c r="B20" t="inlineStr">
        <is>
          <t>Travel 5004</t>
        </is>
      </c>
      <c r="R20" s="2" t="n">
        <v>1851.79</v>
      </c>
      <c r="V20" s="2" t="n">
        <v>1011.44</v>
      </c>
      <c r="Z20" s="2" t="n">
        <v>1080.86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179.77</v>
      </c>
      <c r="U25" s="2" t="n">
        <v>65.87</v>
      </c>
      <c r="V25" s="2" t="n">
        <v>532.73</v>
      </c>
      <c r="Y25" s="2" t="n">
        <v>7847.6</v>
      </c>
      <c r="Z25" s="2" t="n">
        <v>-7800</v>
      </c>
      <c r="AE25" s="10">
        <f>SUM(C25:AD25)</f>
        <v/>
      </c>
    </row>
    <row r="26">
      <c r="B26" t="inlineStr">
        <is>
          <t>Material 5003</t>
        </is>
      </c>
      <c r="U26" s="2" t="n">
        <v>925.8</v>
      </c>
      <c r="V26" s="2" t="n">
        <v>390.6</v>
      </c>
      <c r="X26" s="2" t="n">
        <v>4470</v>
      </c>
      <c r="Y26" s="2" t="n">
        <v>23.97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R28" s="2" t="n">
        <v>5730.27</v>
      </c>
      <c r="S28" s="2" t="n">
        <v>993.61</v>
      </c>
      <c r="T28" s="2" t="n">
        <v>-993.61</v>
      </c>
      <c r="AE28" s="10">
        <f>SUM(C28:AD28)</f>
        <v/>
      </c>
    </row>
    <row r="29">
      <c r="B29" t="inlineStr">
        <is>
          <t>G&amp;A 5991</t>
        </is>
      </c>
      <c r="R29" s="2" t="n">
        <v>10810.86</v>
      </c>
      <c r="S29" s="2" t="n">
        <v>3732.79</v>
      </c>
      <c r="T29" s="2" t="n">
        <v>3836.98</v>
      </c>
      <c r="U29" s="2" t="n">
        <v>18274.03</v>
      </c>
      <c r="V29" s="2" t="n">
        <v>5584.23</v>
      </c>
      <c r="W29" s="2" t="n">
        <v>7388.24</v>
      </c>
      <c r="X29" s="2" t="n">
        <v>19448.03</v>
      </c>
      <c r="Y29" s="2" t="n">
        <v>32703.75</v>
      </c>
      <c r="Z29" s="2" t="n">
        <v>15176.11</v>
      </c>
      <c r="AA29" s="2" t="n">
        <v>20602.02</v>
      </c>
      <c r="AB29" s="2" t="n">
        <v>13433.08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3141.07</v>
      </c>
      <c r="R32" s="2" t="n">
        <v>2630.37</v>
      </c>
      <c r="S32" s="2" t="n">
        <v>2858.76</v>
      </c>
      <c r="T32" s="2" t="n">
        <v>2258.67</v>
      </c>
      <c r="U32" s="2" t="n">
        <v>3120</v>
      </c>
      <c r="V32" s="2" t="n">
        <v>3089.7</v>
      </c>
      <c r="W32" s="2" t="n">
        <v>2894.67</v>
      </c>
      <c r="X32" s="2" t="n">
        <v>3318.9</v>
      </c>
      <c r="AE32" s="10">
        <f>SUM(C32:AD32)</f>
        <v/>
      </c>
    </row>
    <row r="33">
      <c r="B33" t="inlineStr">
        <is>
          <t>Fringe 5990</t>
        </is>
      </c>
      <c r="Q33" s="2" t="n">
        <v>1422.28</v>
      </c>
      <c r="R33" s="2" t="n">
        <v>1191.03</v>
      </c>
      <c r="S33" s="2" t="n">
        <v>1294.44</v>
      </c>
      <c r="T33" s="2" t="n">
        <v>1022.73</v>
      </c>
      <c r="U33" s="2" t="n">
        <v>1412.73</v>
      </c>
      <c r="V33" s="2" t="n">
        <v>1399.02</v>
      </c>
      <c r="W33" s="2" t="n">
        <v>1310.7</v>
      </c>
      <c r="X33" s="2" t="n">
        <v>1502.79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30000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50020.08</v>
      </c>
      <c r="R43" s="2" t="n">
        <v>5530.32</v>
      </c>
      <c r="S43" s="2" t="n">
        <v>6010.56</v>
      </c>
      <c r="T43" s="2" t="n">
        <v>4748.82</v>
      </c>
      <c r="U43" s="2" t="n">
        <v>6559.77</v>
      </c>
      <c r="V43" s="2" t="n">
        <v>6496.08</v>
      </c>
      <c r="W43" s="2" t="n">
        <v>6085.98</v>
      </c>
      <c r="X43" s="2" t="n">
        <v>4652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OGA005</t>
        </is>
      </c>
    </row>
    <row r="4">
      <c r="A4" s="1" t="inlineStr">
        <is>
          <t>ROLLUP #</t>
        </is>
      </c>
      <c r="B4" t="inlineStr">
        <is>
          <t>2005</t>
        </is>
      </c>
    </row>
    <row r="5">
      <c r="A5" s="1" t="inlineStr">
        <is>
          <t>PROJECT NAME</t>
        </is>
      </c>
      <c r="B5" t="inlineStr">
        <is>
          <t>Texas Microelectronics Precision Rapid Innovation nd Scaling Mfg PRISM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518726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375.18</v>
      </c>
      <c r="R18" s="2" t="n">
        <v>1048</v>
      </c>
      <c r="S18" s="2" t="n">
        <v>202.91</v>
      </c>
      <c r="T18" s="2" t="n">
        <v>338.81</v>
      </c>
      <c r="U18" s="2" t="n">
        <v>5952.25</v>
      </c>
      <c r="V18" s="2" t="n">
        <v>2128.44</v>
      </c>
      <c r="W18" s="2" t="n">
        <v>4767.27</v>
      </c>
      <c r="X18" s="2" t="n">
        <v>1491.27</v>
      </c>
      <c r="Z18" s="2" t="n">
        <v>524.72</v>
      </c>
      <c r="AA18" s="2" t="n">
        <v>639.79</v>
      </c>
      <c r="AB18" s="2" t="n">
        <v>172.93</v>
      </c>
      <c r="AE18" s="10">
        <f>SUM(C18:AD18)</f>
        <v/>
      </c>
    </row>
    <row r="19">
      <c r="B19" t="inlineStr">
        <is>
          <t>Fringe 5990</t>
        </is>
      </c>
      <c r="O19" s="2" t="n">
        <v>169.88</v>
      </c>
      <c r="R19" s="2" t="n">
        <v>474.54</v>
      </c>
      <c r="S19" s="2" t="n">
        <v>91.88</v>
      </c>
      <c r="T19" s="2" t="n">
        <v>168.69</v>
      </c>
      <c r="U19" s="2" t="n">
        <v>2863.02</v>
      </c>
      <c r="V19" s="2" t="n">
        <v>1023.78</v>
      </c>
      <c r="W19" s="2" t="n">
        <v>2396.04</v>
      </c>
      <c r="X19" s="2" t="n">
        <v>749.51</v>
      </c>
      <c r="Z19" s="2" t="n">
        <v>263.73</v>
      </c>
      <c r="AA19" s="2" t="n">
        <v>346.31</v>
      </c>
      <c r="AB19" s="2" t="n">
        <v>93.61</v>
      </c>
      <c r="AE19" s="10">
        <f>SUM(C19:AD19)</f>
        <v/>
      </c>
    </row>
    <row r="20">
      <c r="B20" t="inlineStr">
        <is>
          <t>Travel 5004</t>
        </is>
      </c>
      <c r="W20" s="2" t="n">
        <v>1052.44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25.65</v>
      </c>
      <c r="V25" s="2" t="n">
        <v>51.17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788.8099999999999</v>
      </c>
      <c r="R29" s="2" t="n">
        <v>2203.41</v>
      </c>
      <c r="S29" s="2" t="n">
        <v>426.62</v>
      </c>
      <c r="T29" s="2" t="n">
        <v>627.51</v>
      </c>
      <c r="U29" s="2" t="n">
        <v>11616.1</v>
      </c>
      <c r="V29" s="2" t="n">
        <v>4208.93</v>
      </c>
      <c r="W29" s="2" t="n">
        <v>10909.69</v>
      </c>
      <c r="X29" s="2" t="n">
        <v>2975.53</v>
      </c>
      <c r="Z29" s="2" t="n">
        <v>1046.98</v>
      </c>
      <c r="AA29" s="2" t="n">
        <v>1343.66</v>
      </c>
      <c r="AB29" s="2" t="n">
        <v>363.19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S32" s="2" t="n">
        <v>1309.53</v>
      </c>
      <c r="T32" s="2" t="n">
        <v>10164.72</v>
      </c>
      <c r="U32" s="2" t="n">
        <v>1826.52</v>
      </c>
      <c r="V32" s="2" t="n">
        <v>763.05</v>
      </c>
      <c r="W32" s="2" t="n">
        <v>839.34</v>
      </c>
      <c r="X32" s="2" t="n">
        <v>1148.49</v>
      </c>
      <c r="Y32" s="2" t="n">
        <v>898.11</v>
      </c>
      <c r="Z32" s="2" t="n">
        <v>948.21</v>
      </c>
      <c r="AA32" s="2" t="n">
        <v>1198.59</v>
      </c>
      <c r="AB32" s="2" t="n">
        <v>1241.74</v>
      </c>
      <c r="AC32" s="2" t="n">
        <v>307.81</v>
      </c>
      <c r="AE32" s="10">
        <f>SUM(C32:AD32)</f>
        <v/>
      </c>
    </row>
    <row r="33">
      <c r="B33" t="inlineStr">
        <is>
          <t>Fringe 5990</t>
        </is>
      </c>
      <c r="S33" s="2" t="n">
        <v>592.95</v>
      </c>
      <c r="T33" s="2" t="n">
        <v>4632.02</v>
      </c>
      <c r="U33" s="2" t="n">
        <v>855.46</v>
      </c>
      <c r="V33" s="2" t="n">
        <v>345.51</v>
      </c>
      <c r="W33" s="2" t="n">
        <v>380.04</v>
      </c>
      <c r="X33" s="2" t="n">
        <v>520.05</v>
      </c>
      <c r="Y33" s="2" t="n">
        <v>406.68</v>
      </c>
      <c r="Z33" s="2" t="n">
        <v>429.36</v>
      </c>
      <c r="AA33" s="2" t="n">
        <v>542.73</v>
      </c>
      <c r="AB33" s="2" t="n">
        <v>556.38</v>
      </c>
      <c r="AC33" s="2" t="n">
        <v>145.26</v>
      </c>
      <c r="AE33" s="10">
        <f>SUM(C33:AD33)</f>
        <v/>
      </c>
    </row>
    <row r="34">
      <c r="B34" t="inlineStr">
        <is>
          <t>Travel 5004</t>
        </is>
      </c>
      <c r="T34" s="2" t="n">
        <v>1017.87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S43" s="2" t="n">
        <v>2753.31</v>
      </c>
      <c r="T43" s="2" t="n">
        <v>22684.13</v>
      </c>
      <c r="U43" s="2" t="n">
        <v>3679.09</v>
      </c>
      <c r="V43" s="2" t="n">
        <v>1604.31</v>
      </c>
      <c r="W43" s="2" t="n">
        <v>1764.75</v>
      </c>
      <c r="X43" s="2" t="n">
        <v>2414.67</v>
      </c>
      <c r="Y43" s="2" t="n">
        <v>1888.26</v>
      </c>
      <c r="Z43" s="2" t="n">
        <v>1993.56</v>
      </c>
      <c r="AA43" s="2" t="n">
        <v>2501.17</v>
      </c>
      <c r="AB43" s="2" t="n">
        <v>2575.59</v>
      </c>
      <c r="AC43" s="2" t="n">
        <v>644.54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OGA006</t>
        </is>
      </c>
    </row>
    <row r="4">
      <c r="A4" s="1" t="inlineStr">
        <is>
          <t>ROLLUP #</t>
        </is>
      </c>
      <c r="B4" t="inlineStr">
        <is>
          <t>2006</t>
        </is>
      </c>
    </row>
    <row r="5">
      <c r="A5" s="1" t="inlineStr">
        <is>
          <t>PROJECT NAME</t>
        </is>
      </c>
      <c r="B5" t="inlineStr">
        <is>
          <t>East Central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326.01</v>
      </c>
      <c r="V18" s="2" t="n">
        <v>1942.75</v>
      </c>
      <c r="W18" s="2" t="n">
        <v>546.84</v>
      </c>
      <c r="X18" s="2" t="n">
        <v>689.42</v>
      </c>
      <c r="Y18" s="2" t="n">
        <v>95.05</v>
      </c>
      <c r="AE18" s="10">
        <f>SUM(C18:AD18)</f>
        <v/>
      </c>
    </row>
    <row r="19">
      <c r="B19" t="inlineStr">
        <is>
          <t>Fringe 5990</t>
        </is>
      </c>
      <c r="T19" s="2" t="n">
        <v>156.82</v>
      </c>
      <c r="V19" s="2" t="n">
        <v>934.47</v>
      </c>
      <c r="W19" s="2" t="n">
        <v>274.84</v>
      </c>
      <c r="X19" s="2" t="n">
        <v>346.5</v>
      </c>
      <c r="Y19" s="2" t="n">
        <v>47.77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24.75</v>
      </c>
      <c r="V25" s="2" t="n">
        <v>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307.03</v>
      </c>
      <c r="V29" s="2" t="n">
        <v>1760.99</v>
      </c>
      <c r="W29" s="2" t="n">
        <v>516.1799999999999</v>
      </c>
      <c r="X29" s="2" t="n">
        <v>650.76</v>
      </c>
      <c r="Y29" s="2" t="n">
        <v>89.72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OGA007</t>
        </is>
      </c>
    </row>
    <row r="4">
      <c r="A4" s="1" t="inlineStr">
        <is>
          <t>ROLLUP #</t>
        </is>
      </c>
      <c r="B4" t="inlineStr">
        <is>
          <t>2007</t>
        </is>
      </c>
    </row>
    <row r="5">
      <c r="A5" s="1" t="inlineStr">
        <is>
          <t>PROJECT NAME</t>
        </is>
      </c>
      <c r="B5" t="inlineStr">
        <is>
          <t>NASA Astrosense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16972.53</v>
      </c>
      <c r="N18" s="2" t="n">
        <v>100625.63</v>
      </c>
      <c r="O18" s="2" t="n">
        <v>44321.91</v>
      </c>
      <c r="P18" s="2" t="n">
        <v>66062.57000000001</v>
      </c>
      <c r="Q18" s="2" t="n">
        <v>28705.03</v>
      </c>
      <c r="R18" s="2" t="n">
        <v>22029.35</v>
      </c>
      <c r="U18" s="2" t="n">
        <v>6253.04</v>
      </c>
      <c r="V18" s="2" t="n">
        <v>12711.56</v>
      </c>
      <c r="W18" s="2" t="n">
        <v>20064.06</v>
      </c>
      <c r="X18" s="2" t="n">
        <v>8994.35</v>
      </c>
      <c r="AE18" s="10">
        <f>SUM(C18:AD18)</f>
        <v/>
      </c>
    </row>
    <row r="19">
      <c r="B19" t="inlineStr">
        <is>
          <t>Fringe 5990</t>
        </is>
      </c>
      <c r="J19" s="2" t="n">
        <v>6699.06</v>
      </c>
      <c r="N19" s="2" t="n">
        <v>43188.51</v>
      </c>
      <c r="O19" s="2" t="n">
        <v>20068.97</v>
      </c>
      <c r="P19" s="2" t="n">
        <v>29913.15</v>
      </c>
      <c r="Q19" s="2" t="n">
        <v>12997.64</v>
      </c>
      <c r="R19" s="2" t="n">
        <v>9974.889999999999</v>
      </c>
      <c r="U19" s="2" t="n">
        <v>3007.72</v>
      </c>
      <c r="V19" s="2" t="n">
        <v>6114.27</v>
      </c>
      <c r="W19" s="2" t="n">
        <v>10084.19</v>
      </c>
      <c r="X19" s="2" t="n">
        <v>4520.56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44.75</v>
      </c>
      <c r="Q25" s="2" t="n">
        <v>62.98</v>
      </c>
      <c r="R25" s="2" t="n">
        <v>110.53</v>
      </c>
      <c r="V25" s="2" t="n">
        <v>13.09</v>
      </c>
      <c r="W25" s="2" t="n">
        <v>17.67</v>
      </c>
      <c r="AE25" s="10">
        <f>SUM(C25:AD25)</f>
        <v/>
      </c>
    </row>
    <row r="26">
      <c r="B26" t="inlineStr">
        <is>
          <t>Material 5003</t>
        </is>
      </c>
      <c r="J26" s="2" t="n">
        <v>2039.31</v>
      </c>
      <c r="N26" s="2" t="n">
        <v>12784.67</v>
      </c>
      <c r="O26" s="2" t="n">
        <v>4993.28</v>
      </c>
      <c r="P26" s="2" t="n">
        <v>323.88</v>
      </c>
      <c r="R26" s="2" t="n">
        <v>3683.58</v>
      </c>
      <c r="V26" s="2" t="n">
        <v>1571.31</v>
      </c>
      <c r="W26" s="2" t="n">
        <v>3360.66</v>
      </c>
      <c r="X26" s="2" t="n">
        <v>12772.1</v>
      </c>
      <c r="Y26" s="2" t="n">
        <v>396.27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13899.31</v>
      </c>
      <c r="N29" s="2" t="n">
        <v>202289.49</v>
      </c>
      <c r="O29" s="2" t="n">
        <v>100412.75</v>
      </c>
      <c r="P29" s="2" t="n">
        <v>139364.75</v>
      </c>
      <c r="Q29" s="2" t="n">
        <v>60443.25</v>
      </c>
      <c r="R29" s="2" t="n">
        <v>51807.37</v>
      </c>
      <c r="U29" s="2" t="n">
        <v>12167.7</v>
      </c>
      <c r="V29" s="2" t="n">
        <v>26816.99</v>
      </c>
      <c r="W29" s="2" t="n">
        <v>44519.95</v>
      </c>
      <c r="X29" s="2" t="n">
        <v>34906.53</v>
      </c>
      <c r="Y29" s="2" t="n">
        <v>526.2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26007.82</v>
      </c>
      <c r="K32" s="2" t="n">
        <v>39011.73</v>
      </c>
      <c r="L32" s="2" t="n">
        <v>39011.73</v>
      </c>
      <c r="M32" s="2" t="n">
        <v>53058.42</v>
      </c>
      <c r="N32" s="2" t="n">
        <v>53058.42</v>
      </c>
      <c r="O32" s="2" t="n">
        <v>53058.42</v>
      </c>
      <c r="P32" s="2" t="n">
        <v>53058.38</v>
      </c>
      <c r="T32" s="2" t="n">
        <v>9072</v>
      </c>
      <c r="U32" s="2" t="n">
        <v>27216</v>
      </c>
      <c r="V32" s="2" t="n">
        <v>27218</v>
      </c>
      <c r="AE32" s="10">
        <f>SUM(C32:AD32)</f>
        <v/>
      </c>
    </row>
    <row r="33">
      <c r="B33" t="inlineStr">
        <is>
          <t>Fringe 5990</t>
        </is>
      </c>
      <c r="J33" s="2" t="n">
        <v>10265.02</v>
      </c>
      <c r="K33" s="2" t="n">
        <v>15397.53</v>
      </c>
      <c r="L33" s="2" t="n">
        <v>15397.53</v>
      </c>
      <c r="M33" s="2" t="n">
        <v>22772.67</v>
      </c>
      <c r="N33" s="2" t="n">
        <v>22772.67</v>
      </c>
      <c r="O33" s="2" t="n">
        <v>22772.67</v>
      </c>
      <c r="P33" s="2" t="n">
        <v>22772.67</v>
      </c>
      <c r="T33" s="2" t="n">
        <v>4364</v>
      </c>
      <c r="U33" s="2" t="n">
        <v>13092</v>
      </c>
      <c r="V33" s="2" t="n">
        <v>13090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J40" s="2" t="n">
        <v>1543.76</v>
      </c>
      <c r="K40" s="2" t="n">
        <v>2315.64</v>
      </c>
      <c r="L40" s="2" t="n">
        <v>2315.6</v>
      </c>
      <c r="M40" s="2" t="n">
        <v>5025</v>
      </c>
      <c r="N40" s="2" t="n">
        <v>5025</v>
      </c>
      <c r="O40" s="2" t="n">
        <v>5025</v>
      </c>
      <c r="P40" s="2" t="n">
        <v>5025</v>
      </c>
      <c r="T40" s="2" t="n">
        <v>1857</v>
      </c>
      <c r="U40" s="2" t="n">
        <v>5571</v>
      </c>
      <c r="V40" s="2" t="n">
        <v>5572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18202.66</v>
      </c>
      <c r="K43" s="2" t="n">
        <v>27303.99</v>
      </c>
      <c r="L43" s="2" t="n">
        <v>27303.99</v>
      </c>
      <c r="M43" s="2" t="n">
        <v>104415.93</v>
      </c>
      <c r="N43" s="2" t="n">
        <v>104415.93</v>
      </c>
      <c r="O43" s="2" t="n">
        <v>104415.93</v>
      </c>
      <c r="P43" s="2" t="n">
        <v>104415.9</v>
      </c>
      <c r="T43" s="2" t="n">
        <v>20100</v>
      </c>
      <c r="U43" s="2" t="n">
        <v>60300</v>
      </c>
      <c r="V43" s="2" t="n">
        <v>60298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OGA008</t>
        </is>
      </c>
    </row>
    <row r="4">
      <c r="A4" s="1" t="inlineStr">
        <is>
          <t>ROLLUP #</t>
        </is>
      </c>
      <c r="B4" t="inlineStr">
        <is>
          <t>3002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Gov,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50375.85</v>
      </c>
      <c r="N18" s="2" t="n">
        <v>68646.09</v>
      </c>
      <c r="O18" s="2" t="n">
        <v>3734.17</v>
      </c>
      <c r="P18" s="2" t="n">
        <v>2910.02</v>
      </c>
      <c r="Q18" s="2" t="n">
        <v>1383.76</v>
      </c>
      <c r="R18" s="2" t="n">
        <v>45710.31</v>
      </c>
      <c r="AE18" s="10">
        <f>SUM(C18:AD18)</f>
        <v/>
      </c>
    </row>
    <row r="19">
      <c r="B19" t="inlineStr">
        <is>
          <t>Fringe 5990</t>
        </is>
      </c>
      <c r="J19" s="2" t="n">
        <v>19883.35</v>
      </c>
      <c r="N19" s="2" t="n">
        <v>27094.62</v>
      </c>
      <c r="O19" s="2" t="n">
        <v>1690.83</v>
      </c>
      <c r="P19" s="2" t="n">
        <v>1317.65</v>
      </c>
      <c r="Q19" s="2" t="n">
        <v>626.5599999999999</v>
      </c>
      <c r="R19" s="2" t="n">
        <v>20697.63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562228.04</v>
      </c>
      <c r="N21" s="2" t="n">
        <v>810195.47</v>
      </c>
      <c r="O21" s="2" t="n">
        <v>216368.98</v>
      </c>
      <c r="P21" s="2" t="n">
        <v>218130.78</v>
      </c>
      <c r="Q21" s="2" t="n">
        <v>220710.1</v>
      </c>
      <c r="R21" s="2" t="n">
        <v>206037.14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3368.92</v>
      </c>
      <c r="P28" s="2" t="n">
        <v>2625.38</v>
      </c>
      <c r="Q28" s="2" t="n">
        <v>1248.41</v>
      </c>
      <c r="R28" s="2" t="n">
        <v>41239.32</v>
      </c>
      <c r="AE28" s="10">
        <f>SUM(C28:AD28)</f>
        <v/>
      </c>
    </row>
    <row r="29">
      <c r="B29" t="inlineStr">
        <is>
          <t>G&amp;A 5991</t>
        </is>
      </c>
      <c r="J29" s="2" t="n">
        <v>37982.12</v>
      </c>
      <c r="N29" s="2" t="n">
        <v>51757.41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OGA009</t>
        </is>
      </c>
    </row>
    <row r="4">
      <c r="A4" s="1" t="inlineStr">
        <is>
          <t>ROLLUP #</t>
        </is>
      </c>
      <c r="B4" t="inlineStr">
        <is>
          <t>3004</t>
        </is>
      </c>
    </row>
    <row r="5">
      <c r="A5" s="1" t="inlineStr">
        <is>
          <t>PROJECT NAME</t>
        </is>
      </c>
      <c r="B5" t="inlineStr">
        <is>
          <t>Ohio Manufacturing and Engineering Education Program OH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EWD-Non Gov, OGA EWD-Lic,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39844.97</v>
      </c>
      <c r="N18" s="2" t="n">
        <v>39950.19</v>
      </c>
      <c r="O18" s="2" t="n">
        <v>7733.41</v>
      </c>
      <c r="P18" s="2" t="n">
        <v>8102.18</v>
      </c>
      <c r="Q18" s="2" t="n">
        <v>11953.35</v>
      </c>
      <c r="R18" s="2" t="n">
        <v>9911.219999999999</v>
      </c>
      <c r="S18" s="2" t="n">
        <v>4289.95</v>
      </c>
      <c r="T18" s="2" t="n">
        <v>15982.3</v>
      </c>
      <c r="U18" s="2" t="n">
        <v>-20272.25</v>
      </c>
      <c r="V18" s="2" t="n">
        <v>49157.13</v>
      </c>
      <c r="AE18" s="10">
        <f>SUM(C18:AD18)</f>
        <v/>
      </c>
    </row>
    <row r="19">
      <c r="B19" t="inlineStr">
        <is>
          <t>Fringe 5990</t>
        </is>
      </c>
      <c r="J19" s="2" t="n">
        <v>15726.81</v>
      </c>
      <c r="N19" s="2" t="n">
        <v>17146.64</v>
      </c>
      <c r="O19" s="2" t="n">
        <v>3501.69</v>
      </c>
      <c r="P19" s="2" t="n">
        <v>3668.66</v>
      </c>
      <c r="Q19" s="2" t="n">
        <v>5412.48</v>
      </c>
      <c r="R19" s="2" t="n">
        <v>4487.79</v>
      </c>
      <c r="S19" s="2" t="n">
        <v>1942.5</v>
      </c>
      <c r="T19" s="2" t="n">
        <v>7808.47</v>
      </c>
      <c r="U19" s="2" t="n">
        <v>-9750.959999999999</v>
      </c>
      <c r="V19" s="2" t="n">
        <v>23644.58</v>
      </c>
      <c r="AE19" s="10">
        <f>SUM(C19:AD19)</f>
        <v/>
      </c>
    </row>
    <row r="20">
      <c r="B20" t="inlineStr">
        <is>
          <t>Travel 5004</t>
        </is>
      </c>
      <c r="N20" s="2" t="n">
        <v>1913.35</v>
      </c>
      <c r="P20" s="2" t="n">
        <v>92.36</v>
      </c>
      <c r="S20" s="2" t="n">
        <v>959.15</v>
      </c>
      <c r="T20" s="2" t="n">
        <v>6948.82</v>
      </c>
      <c r="U20" s="2" t="n">
        <v>-7907.97</v>
      </c>
      <c r="V20" s="2" t="n">
        <v>8854.99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15244</v>
      </c>
      <c r="V22" s="2" t="n">
        <v>22500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764.65</v>
      </c>
      <c r="R25" s="2" t="n">
        <v>45.9</v>
      </c>
      <c r="T25" s="2" t="n">
        <v>232.56</v>
      </c>
      <c r="U25" s="2" t="n">
        <v>-232.56</v>
      </c>
      <c r="V25" s="2" t="n">
        <v>737.01</v>
      </c>
      <c r="AE25" s="10">
        <f>SUM(C25:AD25)</f>
        <v/>
      </c>
    </row>
    <row r="26">
      <c r="B26" t="inlineStr">
        <is>
          <t>Material 5003</t>
        </is>
      </c>
      <c r="N26" s="2" t="n">
        <v>44.91</v>
      </c>
      <c r="Q26" s="2" t="n">
        <v>183.59</v>
      </c>
      <c r="V26" s="2" t="n">
        <v>6712.32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6977.01</v>
      </c>
      <c r="P28" s="2" t="n">
        <v>7367.05</v>
      </c>
      <c r="Q28" s="2" t="n">
        <v>10898.18</v>
      </c>
      <c r="R28" s="2" t="n">
        <v>18436.81</v>
      </c>
      <c r="S28" s="2" t="n">
        <v>4465.98</v>
      </c>
      <c r="T28" s="2" t="n">
        <v>-4465.98</v>
      </c>
      <c r="AE28" s="10">
        <f>SUM(C28:AD28)</f>
        <v/>
      </c>
    </row>
    <row r="29">
      <c r="B29" t="inlineStr">
        <is>
          <t>G&amp;A 5991</t>
        </is>
      </c>
      <c r="J29" s="2" t="n">
        <v>14282.27</v>
      </c>
      <c r="N29" s="2" t="n">
        <v>32338.55</v>
      </c>
      <c r="T29" s="2" t="n">
        <v>23085.24</v>
      </c>
      <c r="U29" s="2" t="n">
        <v>-23085.25</v>
      </c>
      <c r="V29" s="2" t="n">
        <v>61816.19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OGA010</t>
        </is>
      </c>
    </row>
    <row r="4">
      <c r="A4" s="1" t="inlineStr">
        <is>
          <t>ROLLUP #</t>
        </is>
      </c>
      <c r="B4" t="inlineStr">
        <is>
          <t>3007</t>
        </is>
      </c>
    </row>
    <row r="5">
      <c r="A5" s="1" t="inlineStr">
        <is>
          <t>PROJECT NAME</t>
        </is>
      </c>
      <c r="B5" t="inlineStr">
        <is>
          <t>Southeast Ohio MEP nd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98.44</v>
      </c>
      <c r="T18" s="2" t="n">
        <v>277.73</v>
      </c>
      <c r="U18" s="2" t="n">
        <v>852.6900000000001</v>
      </c>
      <c r="V18" s="2" t="n">
        <v>5366.82</v>
      </c>
      <c r="W18" s="2" t="n">
        <v>1048.06</v>
      </c>
      <c r="X18" s="2" t="n">
        <v>3742.78</v>
      </c>
      <c r="Y18" s="2" t="n">
        <v>674.03</v>
      </c>
      <c r="AE18" s="10">
        <f>SUM(C18:AD18)</f>
        <v/>
      </c>
    </row>
    <row r="19">
      <c r="B19" t="inlineStr">
        <is>
          <t>Fringe 5990</t>
        </is>
      </c>
      <c r="N19" s="2" t="n">
        <v>45.24</v>
      </c>
      <c r="T19" s="2" t="n">
        <v>133.59</v>
      </c>
      <c r="U19" s="2" t="n">
        <v>410.15</v>
      </c>
      <c r="V19" s="2" t="n">
        <v>2581.43</v>
      </c>
      <c r="W19" s="2" t="n">
        <v>526.75</v>
      </c>
      <c r="X19" s="2" t="n">
        <v>1881.12</v>
      </c>
      <c r="Y19" s="2" t="n">
        <v>338.76</v>
      </c>
      <c r="AE19" s="10">
        <f>SUM(C19:AD19)</f>
        <v/>
      </c>
    </row>
    <row r="20">
      <c r="B20" t="inlineStr">
        <is>
          <t>Travel 5004</t>
        </is>
      </c>
      <c r="V20" s="2" t="n">
        <v>2821.79</v>
      </c>
      <c r="W20" s="2" t="n">
        <v>86.17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38.69</v>
      </c>
      <c r="V25" s="2" t="n">
        <v>34.53</v>
      </c>
      <c r="X25" s="2" t="n">
        <v>98.15000000000001</v>
      </c>
      <c r="AE25" s="10">
        <f>SUM(C25:AD25)</f>
        <v/>
      </c>
    </row>
    <row r="26">
      <c r="B26" t="inlineStr">
        <is>
          <t>Material 5003</t>
        </is>
      </c>
      <c r="T26" s="2" t="n">
        <v>70.03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185.55</v>
      </c>
      <c r="T29" s="2" t="n">
        <v>683.28</v>
      </c>
      <c r="U29" s="2" t="n">
        <v>1659.24</v>
      </c>
      <c r="V29" s="2" t="n">
        <v>14196.14</v>
      </c>
      <c r="W29" s="2" t="n">
        <v>2205.62</v>
      </c>
      <c r="X29" s="2" t="n">
        <v>7598.31</v>
      </c>
      <c r="Y29" s="2" t="n">
        <v>1344.88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OGA011</t>
        </is>
      </c>
    </row>
    <row r="4">
      <c r="A4" s="1" t="inlineStr">
        <is>
          <t>ROLLUP #</t>
        </is>
      </c>
      <c r="B4" t="inlineStr">
        <is>
          <t>3008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6817.5</v>
      </c>
      <c r="T18" s="2" t="n">
        <v>7411.6</v>
      </c>
      <c r="U18" s="2" t="n">
        <v>8953.24</v>
      </c>
      <c r="V18" s="2" t="n">
        <v>20503.29</v>
      </c>
      <c r="AE18" s="10">
        <f>SUM(C18:AD18)</f>
        <v/>
      </c>
    </row>
    <row r="19">
      <c r="B19" t="inlineStr">
        <is>
          <t>Fringe 5990</t>
        </is>
      </c>
      <c r="S19" s="2" t="n">
        <v>3086.96</v>
      </c>
      <c r="T19" s="2" t="n">
        <v>3355.97</v>
      </c>
      <c r="U19" s="2" t="n">
        <v>4054.02</v>
      </c>
      <c r="V19" s="2" t="n">
        <v>9283.889999999999</v>
      </c>
      <c r="AE19" s="10">
        <f>SUM(C19:AD19)</f>
        <v/>
      </c>
    </row>
    <row r="20">
      <c r="B20" t="inlineStr">
        <is>
          <t>Travel 5004</t>
        </is>
      </c>
      <c r="U20" s="2" t="n">
        <v>725.95</v>
      </c>
      <c r="V20" s="2" t="n">
        <v>1453.57</v>
      </c>
      <c r="AE20" s="10">
        <f>SUM(C20:AD20)</f>
        <v/>
      </c>
    </row>
    <row r="21">
      <c r="B21" t="inlineStr">
        <is>
          <t>Subcontracting 5005</t>
        </is>
      </c>
      <c r="S21" s="2" t="n">
        <v>198761.94</v>
      </c>
      <c r="T21" s="2" t="n">
        <v>205967.67</v>
      </c>
      <c r="U21" s="2" t="n">
        <v>200255.43</v>
      </c>
      <c r="V21" s="2" t="n">
        <v>199404.5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11453.84</v>
      </c>
      <c r="U27" s="2" t="n">
        <v>5667.22</v>
      </c>
      <c r="V27" s="2" t="n">
        <v>5643.14</v>
      </c>
      <c r="AE27" s="10">
        <f>SUM(C27:AD27)</f>
        <v/>
      </c>
    </row>
    <row r="28">
      <c r="B28" t="inlineStr">
        <is>
          <t>Sub K Overhead 5993</t>
        </is>
      </c>
      <c r="S28" s="2" t="n">
        <v>6150.68</v>
      </c>
      <c r="T28" s="2" t="n">
        <v>-6150.67</v>
      </c>
      <c r="AE28" s="10">
        <f>SUM(C28:AD28)</f>
        <v/>
      </c>
    </row>
    <row r="29">
      <c r="B29" t="inlineStr">
        <is>
          <t>G&amp;A 5991</t>
        </is>
      </c>
      <c r="T29" s="2" t="n">
        <v>29916.57</v>
      </c>
      <c r="U29" s="2" t="n">
        <v>19874.7</v>
      </c>
      <c r="V29" s="2" t="n">
        <v>45211.61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OGA012</t>
        </is>
      </c>
    </row>
    <row r="4">
      <c r="A4" s="1" t="inlineStr">
        <is>
          <t>ROLLUP #</t>
        </is>
      </c>
      <c r="B4" t="inlineStr">
        <is>
          <t>3009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8481.780000000001</v>
      </c>
      <c r="X18" s="2" t="n">
        <v>10433.85</v>
      </c>
      <c r="Y18" s="2" t="n">
        <v>11131.84</v>
      </c>
      <c r="Z18" s="2" t="n">
        <v>16368.27</v>
      </c>
      <c r="AE18" s="10">
        <f>SUM(C18:AD18)</f>
        <v/>
      </c>
    </row>
    <row r="19">
      <c r="B19" t="inlineStr">
        <is>
          <t>Fringe 5990</t>
        </is>
      </c>
      <c r="W19" s="2" t="n">
        <v>4079.74</v>
      </c>
      <c r="X19" s="2" t="n">
        <v>5018.68</v>
      </c>
      <c r="Y19" s="2" t="n">
        <v>5354.41</v>
      </c>
      <c r="Z19" s="2" t="n">
        <v>7873.14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199647.03</v>
      </c>
      <c r="X21" s="2" t="n">
        <v>203677.51</v>
      </c>
      <c r="Y21" s="2" t="n">
        <v>199852.11</v>
      </c>
      <c r="Z21" s="2" t="n">
        <v>201234.09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6109.2</v>
      </c>
      <c r="X27" s="2" t="n">
        <v>6232.53</v>
      </c>
      <c r="Y27" s="2" t="n">
        <v>6115.48</v>
      </c>
      <c r="Z27" s="2" t="n">
        <v>6157.76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16504.58</v>
      </c>
      <c r="X29" s="2" t="n">
        <v>20303.09</v>
      </c>
      <c r="Y29" s="2" t="n">
        <v>21661.28</v>
      </c>
      <c r="Z29" s="2" t="n">
        <v>31850.79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OGA013</t>
        </is>
      </c>
    </row>
    <row r="4">
      <c r="A4" s="1" t="inlineStr">
        <is>
          <t>ROLLUP #</t>
        </is>
      </c>
      <c r="B4" t="inlineStr">
        <is>
          <t>3010</t>
        </is>
      </c>
    </row>
    <row r="5">
      <c r="A5" s="1" t="inlineStr">
        <is>
          <t>PROJECT NAME</t>
        </is>
      </c>
      <c r="B5" t="inlineStr">
        <is>
          <t>ONR MUSA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93322.59</v>
      </c>
      <c r="J18" s="2" t="n">
        <v>227588.8</v>
      </c>
      <c r="N18" s="2" t="n">
        <v>66566.46000000001</v>
      </c>
      <c r="O18" s="2" t="n">
        <v>9156.040000000001</v>
      </c>
      <c r="P18" s="2" t="n">
        <v>12517.6</v>
      </c>
      <c r="Q18" s="2" t="n">
        <v>16316.51</v>
      </c>
      <c r="R18" s="2" t="n">
        <v>10288.5</v>
      </c>
      <c r="S18" s="2" t="n">
        <v>34312.61</v>
      </c>
      <c r="T18" s="2" t="n">
        <v>11157.85</v>
      </c>
      <c r="U18" s="2" t="n">
        <v>8860.620000000001</v>
      </c>
      <c r="AE18" s="10">
        <f>SUM(C18:AD18)</f>
        <v/>
      </c>
    </row>
    <row r="19">
      <c r="B19" t="inlineStr">
        <is>
          <t>Fringe 5990</t>
        </is>
      </c>
      <c r="F19" s="2" t="n">
        <v>38803.53</v>
      </c>
      <c r="J19" s="2" t="n">
        <v>89829.3</v>
      </c>
      <c r="N19" s="2" t="n">
        <v>28570.33</v>
      </c>
      <c r="O19" s="2" t="n">
        <v>4145.85</v>
      </c>
      <c r="P19" s="2" t="n">
        <v>5667.98</v>
      </c>
      <c r="Q19" s="2" t="n">
        <v>7388.12</v>
      </c>
      <c r="R19" s="2" t="n">
        <v>4658.63</v>
      </c>
      <c r="S19" s="2" t="n">
        <v>15536.75</v>
      </c>
      <c r="T19" s="2" t="n">
        <v>6334.55</v>
      </c>
      <c r="U19" s="2" t="n">
        <v>4261.96</v>
      </c>
      <c r="AE19" s="10">
        <f>SUM(C19:AD19)</f>
        <v/>
      </c>
    </row>
    <row r="20">
      <c r="B20" t="inlineStr">
        <is>
          <t>Travel 5004</t>
        </is>
      </c>
      <c r="N20" s="2" t="n">
        <v>1136.41</v>
      </c>
      <c r="P20" s="2" t="n">
        <v>21.09</v>
      </c>
      <c r="Q20" s="2" t="n">
        <v>7182.01</v>
      </c>
      <c r="R20" s="2" t="n">
        <v>1857.59</v>
      </c>
      <c r="S20" s="2" t="n">
        <v>4830.35</v>
      </c>
      <c r="AE20" s="10">
        <f>SUM(C20:AD20)</f>
        <v/>
      </c>
    </row>
    <row r="21">
      <c r="B21" t="inlineStr">
        <is>
          <t>Subcontracting 5005</t>
        </is>
      </c>
      <c r="J21" s="2" t="n">
        <v>647180.22</v>
      </c>
      <c r="N21" s="2" t="n">
        <v>669427</v>
      </c>
      <c r="O21" s="2" t="n">
        <v>94600.59</v>
      </c>
      <c r="P21" s="2" t="n">
        <v>243028.21</v>
      </c>
      <c r="Q21" s="2" t="n">
        <v>199003.83</v>
      </c>
      <c r="R21" s="2" t="n">
        <v>323114.59</v>
      </c>
      <c r="S21" s="2" t="n">
        <v>90455.8</v>
      </c>
      <c r="T21" s="2" t="n">
        <v>229907.58</v>
      </c>
      <c r="U21" s="2" t="n">
        <v>198035.4</v>
      </c>
      <c r="AE21" s="10">
        <f>SUM(C21:AD21)</f>
        <v/>
      </c>
    </row>
    <row r="22">
      <c r="B22" t="inlineStr">
        <is>
          <t>Consulting 5002</t>
        </is>
      </c>
      <c r="F22" s="2" t="n">
        <v>7000</v>
      </c>
      <c r="J22" s="2" t="n">
        <v>185575</v>
      </c>
      <c r="N22" s="2" t="n">
        <v>214038</v>
      </c>
      <c r="P22" s="2" t="n">
        <v>22400</v>
      </c>
      <c r="Q22" s="2" t="n">
        <v>22500</v>
      </c>
      <c r="R22" s="2" t="n">
        <v>37575</v>
      </c>
      <c r="S22" s="2" t="n">
        <v>7425</v>
      </c>
      <c r="T22" s="2" t="n">
        <v>22210</v>
      </c>
      <c r="U22" s="2" t="n">
        <v>44420</v>
      </c>
      <c r="AE22" s="10">
        <f>SUM(C22:AD22)</f>
        <v/>
      </c>
    </row>
    <row r="23">
      <c r="B23" t="inlineStr">
        <is>
          <t>Equipment 5010</t>
        </is>
      </c>
      <c r="U23" s="2" t="n">
        <v>45000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125</v>
      </c>
      <c r="S25" s="2" t="n">
        <v>995</v>
      </c>
      <c r="AE25" s="10">
        <f>SUM(C25:AD25)</f>
        <v/>
      </c>
    </row>
    <row r="26">
      <c r="B26" t="inlineStr">
        <is>
          <t>Material 5003</t>
        </is>
      </c>
      <c r="O26" s="2" t="n">
        <v>267.88</v>
      </c>
      <c r="P26" s="2" t="n">
        <v>79.44</v>
      </c>
      <c r="Q26" s="2" t="n">
        <v>72</v>
      </c>
      <c r="T26" s="2" t="n">
        <v>400</v>
      </c>
      <c r="AE26" s="10">
        <f>SUM(C26:AD26)</f>
        <v/>
      </c>
    </row>
    <row r="27">
      <c r="B27" t="inlineStr">
        <is>
          <t>Sub K Overhead 5992</t>
        </is>
      </c>
      <c r="N27" s="2" t="n">
        <v>17539</v>
      </c>
      <c r="O27" s="2" t="n">
        <v>2677.2</v>
      </c>
      <c r="P27" s="2" t="n">
        <v>6877.69</v>
      </c>
      <c r="Q27" s="2" t="n">
        <v>5631.81</v>
      </c>
      <c r="R27" s="2" t="n">
        <v>9144.129999999999</v>
      </c>
      <c r="S27" s="2" t="n">
        <v>2559.89</v>
      </c>
      <c r="T27" s="2" t="n">
        <v>7243.22</v>
      </c>
      <c r="U27" s="2" t="n">
        <v>6059.89</v>
      </c>
      <c r="AE27" s="10">
        <f>SUM(C27:AD27)</f>
        <v/>
      </c>
    </row>
    <row r="28">
      <c r="B28" t="inlineStr">
        <is>
          <t>Sub K Overhead 5993</t>
        </is>
      </c>
      <c r="O28" s="2" t="n">
        <v>19638.18</v>
      </c>
      <c r="P28" s="2" t="n">
        <v>58880.93</v>
      </c>
      <c r="Q28" s="2" t="n">
        <v>77546.24000000001</v>
      </c>
      <c r="R28" s="2" t="n">
        <v>78698.33</v>
      </c>
      <c r="S28" s="2" t="n">
        <v>91317.91</v>
      </c>
      <c r="T28" s="2" t="n">
        <v>-91317.89999999999</v>
      </c>
      <c r="AE28" s="10">
        <f>SUM(C28:AD28)</f>
        <v/>
      </c>
    </row>
    <row r="29">
      <c r="B29" t="inlineStr">
        <is>
          <t>G&amp;A 5991</t>
        </is>
      </c>
      <c r="F29" s="2" t="n">
        <v>32972.89</v>
      </c>
      <c r="J29" s="2" t="n">
        <v>271918.07</v>
      </c>
      <c r="N29" s="2" t="n">
        <v>167754.24</v>
      </c>
      <c r="T29" s="2" t="n">
        <v>135597.24</v>
      </c>
      <c r="U29" s="2" t="n">
        <v>75605.19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OGA014</t>
        </is>
      </c>
    </row>
    <row r="4">
      <c r="A4" s="1" t="inlineStr">
        <is>
          <t>ROLLUP #</t>
        </is>
      </c>
      <c r="B4" t="inlineStr">
        <is>
          <t>3011</t>
        </is>
      </c>
    </row>
    <row r="5">
      <c r="A5" s="1" t="inlineStr">
        <is>
          <t>PROJECT NAME</t>
        </is>
      </c>
      <c r="B5" t="inlineStr">
        <is>
          <t>East Mississippi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/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478.66</v>
      </c>
      <c r="N18" s="2" t="n">
        <v>50</v>
      </c>
      <c r="P18" s="2" t="n">
        <v>462.01</v>
      </c>
      <c r="Q18" s="2" t="n">
        <v>1604.05</v>
      </c>
      <c r="R18" s="2" t="n">
        <v>4251.76</v>
      </c>
      <c r="S18" s="2" t="n">
        <v>826.08</v>
      </c>
      <c r="T18" s="2" t="n">
        <v>8131.05</v>
      </c>
      <c r="U18" s="2" t="n">
        <v>3467.8</v>
      </c>
      <c r="AE18" s="10">
        <f>SUM(C18:AD18)</f>
        <v/>
      </c>
    </row>
    <row r="19">
      <c r="B19" t="inlineStr">
        <is>
          <t>Fringe 5990</t>
        </is>
      </c>
      <c r="J19" s="2" t="n">
        <v>188.93</v>
      </c>
      <c r="N19" s="2" t="n">
        <v>21.46</v>
      </c>
      <c r="P19" s="2" t="n">
        <v>209.19</v>
      </c>
      <c r="Q19" s="2" t="n">
        <v>726.3099999999999</v>
      </c>
      <c r="R19" s="2" t="n">
        <v>1925.2</v>
      </c>
      <c r="S19" s="2" t="n">
        <v>374.05</v>
      </c>
      <c r="T19" s="2" t="n">
        <v>3934.33</v>
      </c>
      <c r="U19" s="2" t="n">
        <v>1668.01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P28" s="2" t="n">
        <v>416.82</v>
      </c>
      <c r="Q28" s="2" t="n">
        <v>1447.15</v>
      </c>
      <c r="R28" s="2" t="n">
        <v>3835.89</v>
      </c>
      <c r="S28" s="2" t="n">
        <v>745.29</v>
      </c>
      <c r="T28" s="2" t="n">
        <v>-745.28</v>
      </c>
      <c r="AE28" s="10">
        <f>SUM(C28:AD28)</f>
        <v/>
      </c>
    </row>
    <row r="29">
      <c r="B29" t="inlineStr">
        <is>
          <t>G&amp;A 5991</t>
        </is>
      </c>
      <c r="J29" s="2" t="n">
        <v>166.9</v>
      </c>
      <c r="N29" s="2" t="n">
        <v>92.28</v>
      </c>
      <c r="T29" s="2" t="n">
        <v>8024.31</v>
      </c>
      <c r="U29" s="2" t="n">
        <v>3106.65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OGA015</t>
        </is>
      </c>
    </row>
    <row r="4">
      <c r="A4" s="1" t="inlineStr">
        <is>
          <t>ROLLUP #</t>
        </is>
      </c>
      <c r="B4" t="inlineStr">
        <is>
          <t>750007</t>
        </is>
      </c>
    </row>
    <row r="5">
      <c r="A5" s="1" t="inlineStr">
        <is>
          <t>PROJECT NAME</t>
        </is>
      </c>
      <c r="B5" t="inlineStr">
        <is>
          <t>SCC AY19 to 20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148376.01</v>
      </c>
      <c r="J18" s="2" t="n">
        <v>43191.2</v>
      </c>
      <c r="N18" s="2" t="n">
        <v>51</v>
      </c>
      <c r="AE18" s="10">
        <f>SUM(C18:AD18)</f>
        <v/>
      </c>
    </row>
    <row r="19">
      <c r="B19" t="inlineStr">
        <is>
          <t>Fringe 5990</t>
        </is>
      </c>
      <c r="F19" s="2" t="n">
        <v>61694.74</v>
      </c>
      <c r="J19" s="2" t="n">
        <v>17047.57</v>
      </c>
      <c r="N19" s="2" t="n">
        <v>20.13</v>
      </c>
      <c r="AE19" s="10">
        <f>SUM(C19:AD19)</f>
        <v/>
      </c>
    </row>
    <row r="20">
      <c r="B20" t="inlineStr">
        <is>
          <t>Travel 5004</t>
        </is>
      </c>
      <c r="F20" s="2" t="n">
        <v>2636.15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11125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59923.29</v>
      </c>
      <c r="J29" s="2" t="n">
        <v>15089.92</v>
      </c>
      <c r="N29" s="2" t="n">
        <v>38.45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73234.62999999999+C30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OGA016</t>
        </is>
      </c>
    </row>
    <row r="4">
      <c r="A4" s="1" t="inlineStr">
        <is>
          <t>ROLLUP #</t>
        </is>
      </c>
      <c r="B4" t="inlineStr">
        <is>
          <t>750006</t>
        </is>
      </c>
    </row>
    <row r="5">
      <c r="A5" s="1" t="inlineStr">
        <is>
          <t>PROJECT NAME</t>
        </is>
      </c>
      <c r="B5" t="inlineStr">
        <is>
          <t>AFRL Flex 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8391.690000000001</v>
      </c>
      <c r="AE18" s="10">
        <f>SUM(C18:AD18)</f>
        <v/>
      </c>
    </row>
    <row r="19">
      <c r="B19" t="inlineStr">
        <is>
          <t>Fringe 5990</t>
        </is>
      </c>
      <c r="F19" s="2" t="n">
        <v>3489.26</v>
      </c>
      <c r="AE19" s="10">
        <f>SUM(C19:AD19)</f>
        <v/>
      </c>
    </row>
    <row r="20">
      <c r="B20" t="inlineStr">
        <is>
          <t>Travel 5004</t>
        </is>
      </c>
      <c r="F20" s="2" t="n">
        <v>3718.47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4005.05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1109.32+C30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OGA017</t>
        </is>
      </c>
    </row>
    <row r="4">
      <c r="A4" s="1" t="inlineStr">
        <is>
          <t>ROLLUP #</t>
        </is>
      </c>
      <c r="B4" t="inlineStr">
        <is>
          <t>850013</t>
        </is>
      </c>
    </row>
    <row r="5">
      <c r="A5" s="1" t="inlineStr">
        <is>
          <t>PROJECT NAME</t>
        </is>
      </c>
      <c r="B5" t="inlineStr">
        <is>
          <t>Natl Sci Found Adv Tech Edu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30000.67</v>
      </c>
      <c r="N18" s="2" t="n">
        <v>8688.969999999999</v>
      </c>
      <c r="P18" s="2" t="n">
        <v>11976.59</v>
      </c>
      <c r="Q18" s="2" t="n">
        <v>-9309.24</v>
      </c>
      <c r="AE18" s="10">
        <f>SUM(C18:AD18)</f>
        <v/>
      </c>
    </row>
    <row r="19">
      <c r="B19" t="inlineStr">
        <is>
          <t>Fringe 5990</t>
        </is>
      </c>
      <c r="J19" s="2" t="n">
        <v>11841.26</v>
      </c>
      <c r="N19" s="2" t="n">
        <v>3729.32</v>
      </c>
      <c r="P19" s="2" t="n">
        <v>5422.98</v>
      </c>
      <c r="Q19" s="2" t="n">
        <v>-4215.22</v>
      </c>
      <c r="AE19" s="10">
        <f>SUM(C19:AD19)</f>
        <v/>
      </c>
    </row>
    <row r="20">
      <c r="B20" t="inlineStr">
        <is>
          <t>Travel 5004</t>
        </is>
      </c>
      <c r="P20" s="2" t="n">
        <v>3005.17</v>
      </c>
      <c r="AE20" s="10">
        <f>SUM(C20:AD20)</f>
        <v/>
      </c>
    </row>
    <row r="21">
      <c r="B21" t="inlineStr">
        <is>
          <t>Subcontracting 5005</t>
        </is>
      </c>
      <c r="J21" s="2" t="n">
        <v>64641.7</v>
      </c>
      <c r="N21" s="2" t="n">
        <v>34767.8</v>
      </c>
      <c r="Q21" s="2" t="n">
        <v>90597.56</v>
      </c>
      <c r="AE21" s="10">
        <f>SUM(C21:AD21)</f>
        <v/>
      </c>
    </row>
    <row r="22">
      <c r="B22" t="inlineStr">
        <is>
          <t>Consulting 5002</t>
        </is>
      </c>
      <c r="J22" s="2" t="n">
        <v>9000</v>
      </c>
      <c r="N22" s="2" t="n">
        <v>16500</v>
      </c>
      <c r="P22" s="2" t="n">
        <v>9000</v>
      </c>
      <c r="Q22" s="2" t="n">
        <v>478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910.91</v>
      </c>
      <c r="Q27" s="2" t="n">
        <v>2563.91</v>
      </c>
      <c r="AE27" s="10">
        <f>SUM(C27:AD27)</f>
        <v/>
      </c>
    </row>
    <row r="28">
      <c r="B28" t="inlineStr">
        <is>
          <t>Sub K Overhead 5993</t>
        </is>
      </c>
      <c r="P28" s="2" t="n">
        <v>18260.36</v>
      </c>
      <c r="Q28" s="2" t="n">
        <v>12212.87</v>
      </c>
      <c r="AE28" s="10">
        <f>SUM(C28:AD28)</f>
        <v/>
      </c>
    </row>
    <row r="29">
      <c r="B29" t="inlineStr">
        <is>
          <t>G&amp;A 5991</t>
        </is>
      </c>
      <c r="J29" s="2" t="n">
        <v>27485.15</v>
      </c>
      <c r="N29" s="2" t="n">
        <v>15633.21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OGA018</t>
        </is>
      </c>
    </row>
    <row r="4">
      <c r="A4" s="1" t="inlineStr">
        <is>
          <t>ROLLUP #</t>
        </is>
      </c>
      <c r="B4" t="inlineStr">
        <is>
          <t>750011</t>
        </is>
      </c>
    </row>
    <row r="5">
      <c r="A5" s="1" t="inlineStr">
        <is>
          <t>PROJECT NAME</t>
        </is>
      </c>
      <c r="B5" t="inlineStr">
        <is>
          <t>SCC AY20 to 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6823.53</v>
      </c>
      <c r="J18" s="2" t="n">
        <v>6467.25</v>
      </c>
      <c r="N18" s="2" t="n">
        <v>64</v>
      </c>
      <c r="AE18" s="10">
        <f>SUM(C18:AD18)</f>
        <v/>
      </c>
    </row>
    <row r="19">
      <c r="B19" t="inlineStr">
        <is>
          <t>Fringe 5990</t>
        </is>
      </c>
      <c r="F19" s="2" t="n">
        <v>2837.22</v>
      </c>
      <c r="J19" s="2" t="n">
        <v>2552.62</v>
      </c>
      <c r="N19" s="2" t="n">
        <v>27.46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2289.6</v>
      </c>
      <c r="J29" s="2" t="n">
        <v>2254.97</v>
      </c>
      <c r="N29" s="2" t="n">
        <v>118.12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OGA019</t>
        </is>
      </c>
    </row>
    <row r="4">
      <c r="A4" s="1" t="inlineStr">
        <is>
          <t>ROLLUP #</t>
        </is>
      </c>
      <c r="B4" t="inlineStr">
        <is>
          <t>750016</t>
        </is>
      </c>
    </row>
    <row r="5">
      <c r="A5" s="1" t="inlineStr">
        <is>
          <t>PROJECT NAME</t>
        </is>
      </c>
      <c r="B5" t="inlineStr">
        <is>
          <t>SJECCD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2370.7</v>
      </c>
      <c r="N18" s="2" t="n">
        <v>6634.35</v>
      </c>
      <c r="O18" s="2" t="n">
        <v>203.25</v>
      </c>
      <c r="Q18" s="2" t="n">
        <v>431.84</v>
      </c>
      <c r="R18" s="2" t="n">
        <v>4706.35</v>
      </c>
      <c r="AE18" s="10">
        <f>SUM(C18:AD18)</f>
        <v/>
      </c>
    </row>
    <row r="19">
      <c r="B19" t="inlineStr">
        <is>
          <t>Fringe 5990</t>
        </is>
      </c>
      <c r="J19" s="2" t="n">
        <v>935.72</v>
      </c>
      <c r="N19" s="2" t="n">
        <v>2847.47</v>
      </c>
      <c r="O19" s="2" t="n">
        <v>92.04000000000001</v>
      </c>
      <c r="Q19" s="2" t="n">
        <v>195.55</v>
      </c>
      <c r="R19" s="2" t="n">
        <v>2131.03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183.37</v>
      </c>
      <c r="Q28" s="2" t="n">
        <v>389.6</v>
      </c>
      <c r="R28" s="2" t="n">
        <v>4246.01</v>
      </c>
      <c r="AE28" s="10">
        <f>SUM(C28:AD28)</f>
        <v/>
      </c>
    </row>
    <row r="29">
      <c r="B29" t="inlineStr">
        <is>
          <t>G&amp;A 5991</t>
        </is>
      </c>
      <c r="J29" s="2" t="n">
        <v>826.6</v>
      </c>
      <c r="N29" s="2" t="n">
        <v>12244.8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OGA020</t>
        </is>
      </c>
    </row>
    <row r="4">
      <c r="A4" s="1" t="inlineStr">
        <is>
          <t>ROLLUP #</t>
        </is>
      </c>
      <c r="B4" t="inlineStr">
        <is>
          <t>750018</t>
        </is>
      </c>
    </row>
    <row r="5">
      <c r="A5" s="1" t="inlineStr">
        <is>
          <t>PROJECT NAME</t>
        </is>
      </c>
      <c r="B5" t="inlineStr">
        <is>
          <t>EVC Teaming JUNE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1373.05</v>
      </c>
      <c r="N18" s="2" t="n">
        <v>343.25</v>
      </c>
      <c r="AE18" s="10">
        <f>SUM(C18:AD18)</f>
        <v/>
      </c>
    </row>
    <row r="19">
      <c r="B19" t="inlineStr">
        <is>
          <t>Fringe 5990</t>
        </is>
      </c>
      <c r="J19" s="2" t="n">
        <v>541.9400000000001</v>
      </c>
      <c r="N19" s="2" t="n">
        <v>147.32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8000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478.75</v>
      </c>
      <c r="N29" s="2" t="n">
        <v>10964.74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OGA021</t>
        </is>
      </c>
    </row>
    <row r="4">
      <c r="A4" s="1" t="inlineStr">
        <is>
          <t>ROLLUP #</t>
        </is>
      </c>
      <c r="B4" t="inlineStr">
        <is>
          <t>750021</t>
        </is>
      </c>
    </row>
    <row r="5">
      <c r="A5" s="1" t="inlineStr">
        <is>
          <t>PROJECT NAME</t>
        </is>
      </c>
      <c r="B5" t="inlineStr">
        <is>
          <t>EVC Teaming JULY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13375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3343.75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OGA022</t>
        </is>
      </c>
    </row>
    <row r="4">
      <c r="A4" s="1" t="inlineStr">
        <is>
          <t>ROLLUP #</t>
        </is>
      </c>
      <c r="B4" t="inlineStr">
        <is>
          <t>750020</t>
        </is>
      </c>
    </row>
    <row r="5">
      <c r="A5" s="1" t="inlineStr">
        <is>
          <t>PROJECT NAME</t>
        </is>
      </c>
      <c r="B5" t="inlineStr">
        <is>
          <t>EVC AY21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1502.25</v>
      </c>
      <c r="N18" s="2" t="n">
        <v>43860.33</v>
      </c>
      <c r="AE18" s="10">
        <f>SUM(C18:AD18)</f>
        <v/>
      </c>
    </row>
    <row r="19">
      <c r="B19" t="inlineStr">
        <is>
          <t>Fringe 5990</t>
        </is>
      </c>
      <c r="J19" s="2" t="n">
        <v>592.9400000000001</v>
      </c>
      <c r="N19" s="2" t="n">
        <v>18824.85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3000</v>
      </c>
      <c r="AE25" s="10">
        <f>SUM(C25:AD25)</f>
        <v/>
      </c>
    </row>
    <row r="26">
      <c r="B26" t="inlineStr">
        <is>
          <t>Material 5003</t>
        </is>
      </c>
      <c r="N26" s="2" t="n">
        <v>27.33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523.8</v>
      </c>
      <c r="N29" s="2" t="n">
        <v>84861.14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OGA023</t>
        </is>
      </c>
    </row>
    <row r="4">
      <c r="A4" s="1" t="inlineStr">
        <is>
          <t>ROLLUP #</t>
        </is>
      </c>
      <c r="B4" t="inlineStr">
        <is>
          <t>750023</t>
        </is>
      </c>
    </row>
    <row r="5">
      <c r="A5" s="1" t="inlineStr">
        <is>
          <t>PROJECT NAME</t>
        </is>
      </c>
      <c r="B5" t="inlineStr">
        <is>
          <t>West Valley Mission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8414.209999999999</v>
      </c>
      <c r="AE18" s="10">
        <f>SUM(C18:AD18)</f>
        <v/>
      </c>
    </row>
    <row r="19">
      <c r="B19" t="inlineStr">
        <is>
          <t>Fringe 5990</t>
        </is>
      </c>
      <c r="N19" s="2" t="n">
        <v>3611.38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15529.84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OGA024</t>
        </is>
      </c>
    </row>
    <row r="4">
      <c r="A4" s="1" t="inlineStr">
        <is>
          <t>ROLLUP #</t>
        </is>
      </c>
      <c r="B4" t="inlineStr">
        <is>
          <t>750026</t>
        </is>
      </c>
    </row>
    <row r="5">
      <c r="A5" s="1" t="inlineStr">
        <is>
          <t>PROJECT NAME</t>
        </is>
      </c>
      <c r="B5" t="inlineStr">
        <is>
          <t>CUHSD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2818.14</v>
      </c>
      <c r="AE18" s="10">
        <f>SUM(C18:AD18)</f>
        <v/>
      </c>
    </row>
    <row r="19">
      <c r="B19" t="inlineStr">
        <is>
          <t>Fringe 5990</t>
        </is>
      </c>
      <c r="N19" s="2" t="n">
        <v>1209.55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5201.35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OGA025</t>
        </is>
      </c>
    </row>
    <row r="4">
      <c r="A4" s="1" t="inlineStr">
        <is>
          <t>ROLLUP #</t>
        </is>
      </c>
      <c r="B4" t="inlineStr">
        <is>
          <t>750027</t>
        </is>
      </c>
    </row>
    <row r="5">
      <c r="A5" s="1" t="inlineStr">
        <is>
          <t>PROJECT NAME</t>
        </is>
      </c>
      <c r="B5" t="inlineStr">
        <is>
          <t>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663.4</v>
      </c>
      <c r="AE18" s="10">
        <f>SUM(C18:AD18)</f>
        <v/>
      </c>
    </row>
    <row r="19">
      <c r="B19" t="inlineStr">
        <is>
          <t>Fringe 5990</t>
        </is>
      </c>
      <c r="N19" s="2" t="n">
        <v>284.72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1224.41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OGA026</t>
        </is>
      </c>
    </row>
    <row r="4">
      <c r="A4" s="1" t="inlineStr">
        <is>
          <t>ROLLUP #</t>
        </is>
      </c>
      <c r="B4" t="inlineStr">
        <is>
          <t>750028</t>
        </is>
      </c>
    </row>
    <row r="5">
      <c r="A5" s="1" t="inlineStr">
        <is>
          <t>PROJECT NAME</t>
        </is>
      </c>
      <c r="B5" t="inlineStr">
        <is>
          <t>SCUSD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99.76000000000001</v>
      </c>
      <c r="AE18" s="10">
        <f>SUM(C18:AD18)</f>
        <v/>
      </c>
    </row>
    <row r="19">
      <c r="B19" t="inlineStr">
        <is>
          <t>Fringe 5990</t>
        </is>
      </c>
      <c r="N19" s="2" t="n">
        <v>42.81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184.12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OGA027</t>
        </is>
      </c>
    </row>
    <row r="4">
      <c r="A4" s="1" t="inlineStr">
        <is>
          <t>ROLLUP #</t>
        </is>
      </c>
      <c r="B4" t="inlineStr">
        <is>
          <t>750022</t>
        </is>
      </c>
    </row>
    <row r="5">
      <c r="A5" s="1" t="inlineStr">
        <is>
          <t>PROJECT NAME</t>
        </is>
      </c>
      <c r="B5" t="inlineStr">
        <is>
          <t>Massachusetts Technology Collaborative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OGA028</t>
        </is>
      </c>
    </row>
    <row r="4">
      <c r="A4" s="1" t="inlineStr">
        <is>
          <t>ROLLUP #</t>
        </is>
      </c>
      <c r="B4" t="inlineStr">
        <is>
          <t>960030</t>
        </is>
      </c>
    </row>
    <row r="5">
      <c r="A5" s="1" t="inlineStr">
        <is>
          <t>PROJECT NAME</t>
        </is>
      </c>
      <c r="B5" t="inlineStr">
        <is>
          <t>Aptima FORE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139918.32</v>
      </c>
      <c r="O18" s="2" t="n">
        <v>27670.3</v>
      </c>
      <c r="P18" s="2" t="n">
        <v>33974.95</v>
      </c>
      <c r="Q18" s="2" t="n">
        <v>740.52</v>
      </c>
      <c r="AE18" s="10">
        <f>SUM(C18:AD18)</f>
        <v/>
      </c>
    </row>
    <row r="19">
      <c r="B19" t="inlineStr">
        <is>
          <t>Fringe 5990</t>
        </is>
      </c>
      <c r="N19" s="2" t="n">
        <v>60052.73</v>
      </c>
      <c r="O19" s="2" t="n">
        <v>12529.11</v>
      </c>
      <c r="P19" s="2" t="n">
        <v>15383.87</v>
      </c>
      <c r="Q19" s="2" t="n">
        <v>335.31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49.42</v>
      </c>
      <c r="Q25" s="2" t="n">
        <v>26.1</v>
      </c>
      <c r="AE25" s="10">
        <f>SUM(C25:AD25)</f>
        <v/>
      </c>
    </row>
    <row r="26">
      <c r="B26" t="inlineStr">
        <is>
          <t>Material 5003</t>
        </is>
      </c>
      <c r="N26" s="2" t="n">
        <v>9683.74</v>
      </c>
      <c r="O26" s="2" t="n">
        <v>2620.27</v>
      </c>
      <c r="Q26" s="2" t="n">
        <v>-80</v>
      </c>
      <c r="R26" s="2" t="n">
        <v>11.62</v>
      </c>
      <c r="AE26" s="10">
        <f>SUM(C26:AD26)</f>
        <v/>
      </c>
    </row>
    <row r="27">
      <c r="B27" t="inlineStr">
        <is>
          <t>Sub K Overhead 5992</t>
        </is>
      </c>
      <c r="O27" s="2" t="n">
        <v>53.71</v>
      </c>
      <c r="P27" s="2" t="n">
        <v>-53.71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113358.68</v>
      </c>
      <c r="O29" s="2" t="n">
        <v>59220.22</v>
      </c>
      <c r="P29" s="2" t="n">
        <v>74252.02</v>
      </c>
      <c r="Q29" s="2" t="n">
        <v>1478.93</v>
      </c>
      <c r="R29" s="2" t="n">
        <v>16.82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OGA029</t>
        </is>
      </c>
    </row>
    <row r="4">
      <c r="A4" s="1" t="inlineStr">
        <is>
          <t>ROLLUP #</t>
        </is>
      </c>
      <c r="B4" t="inlineStr">
        <is>
          <t>850029</t>
        </is>
      </c>
    </row>
    <row r="5">
      <c r="A5" s="1" t="inlineStr">
        <is>
          <t>PROJECT NAME</t>
        </is>
      </c>
      <c r="B5" t="inlineStr">
        <is>
          <t>EVC AMT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1278.81</v>
      </c>
      <c r="O18" s="2" t="n">
        <v>4940.62</v>
      </c>
      <c r="P18" s="2" t="n">
        <v>3457.71</v>
      </c>
      <c r="Q18" s="2" t="n">
        <v>2043.41</v>
      </c>
      <c r="R18" s="2" t="n">
        <v>12121.98</v>
      </c>
      <c r="AE18" s="10">
        <f>SUM(C18:AD18)</f>
        <v/>
      </c>
    </row>
    <row r="19">
      <c r="B19" t="inlineStr">
        <is>
          <t>Fringe 5990</t>
        </is>
      </c>
      <c r="N19" s="2" t="n">
        <v>548.87</v>
      </c>
      <c r="O19" s="2" t="n">
        <v>2237.11</v>
      </c>
      <c r="P19" s="2" t="n">
        <v>1565.65</v>
      </c>
      <c r="Q19" s="2" t="n">
        <v>925.25</v>
      </c>
      <c r="R19" s="2" t="n">
        <v>5488.83</v>
      </c>
      <c r="AE19" s="10">
        <f>SUM(C19:AD19)</f>
        <v/>
      </c>
    </row>
    <row r="20">
      <c r="B20" t="inlineStr">
        <is>
          <t>Travel 5004</t>
        </is>
      </c>
      <c r="O20" s="2" t="n">
        <v>834.17</v>
      </c>
      <c r="P20" s="2" t="n">
        <v>9</v>
      </c>
      <c r="Q20" s="2" t="n">
        <v>645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4975.38</v>
      </c>
      <c r="P28" s="2" t="n">
        <v>3125.1</v>
      </c>
      <c r="Q28" s="2" t="n">
        <v>2244.09</v>
      </c>
      <c r="R28" s="2" t="n">
        <v>10936.32</v>
      </c>
      <c r="AE28" s="10">
        <f>SUM(C28:AD28)</f>
        <v/>
      </c>
    </row>
    <row r="29">
      <c r="B29" t="inlineStr">
        <is>
          <t>G&amp;A 5991</t>
        </is>
      </c>
      <c r="N29" s="2" t="n">
        <v>988.04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OGA030</t>
        </is>
      </c>
    </row>
    <row r="4">
      <c r="A4" s="1" t="inlineStr">
        <is>
          <t>ROLLUP #</t>
        </is>
      </c>
      <c r="B4" t="inlineStr">
        <is>
          <t>850030</t>
        </is>
      </c>
    </row>
    <row r="5">
      <c r="A5" s="1" t="inlineStr">
        <is>
          <t>PROJECT NAME</t>
        </is>
      </c>
      <c r="B5" t="inlineStr">
        <is>
          <t>EVC FlexFactor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1938.8</v>
      </c>
      <c r="O18" s="2" t="n">
        <v>8075.25</v>
      </c>
      <c r="P18" s="2" t="n">
        <v>9024.459999999999</v>
      </c>
      <c r="Q18" s="2" t="n">
        <v>3562.85</v>
      </c>
      <c r="AE18" s="10">
        <f>SUM(C18:AD18)</f>
        <v/>
      </c>
    </row>
    <row r="19">
      <c r="B19" t="inlineStr">
        <is>
          <t>Fringe 5990</t>
        </is>
      </c>
      <c r="N19" s="2" t="n">
        <v>832.13</v>
      </c>
      <c r="O19" s="2" t="n">
        <v>3656.47</v>
      </c>
      <c r="P19" s="2" t="n">
        <v>4086.28</v>
      </c>
      <c r="Q19" s="2" t="n">
        <v>1613.26</v>
      </c>
      <c r="AE19" s="10">
        <f>SUM(C19:AD19)</f>
        <v/>
      </c>
    </row>
    <row r="20">
      <c r="B20" t="inlineStr">
        <is>
          <t>Travel 5004</t>
        </is>
      </c>
      <c r="N20" s="2" t="n">
        <v>10.38</v>
      </c>
      <c r="O20" s="2" t="n">
        <v>90.01000000000001</v>
      </c>
      <c r="P20" s="2" t="n">
        <v>68.40000000000001</v>
      </c>
      <c r="Q20" s="2" t="n">
        <v>35.9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267.88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7341.3</v>
      </c>
      <c r="P28" s="2" t="n">
        <v>8184.25</v>
      </c>
      <c r="Q28" s="2" t="n">
        <v>3403.01</v>
      </c>
      <c r="AE28" s="10">
        <f>SUM(C28:AD28)</f>
        <v/>
      </c>
    </row>
    <row r="29">
      <c r="B29" t="inlineStr">
        <is>
          <t>G&amp;A 5991</t>
        </is>
      </c>
      <c r="N29" s="2" t="n">
        <v>1503.58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OGA031</t>
        </is>
      </c>
    </row>
    <row r="4">
      <c r="A4" s="1" t="inlineStr">
        <is>
          <t>ROLLUP #</t>
        </is>
      </c>
      <c r="B4" t="inlineStr">
        <is>
          <t>850031</t>
        </is>
      </c>
    </row>
    <row r="5">
      <c r="A5" s="1" t="inlineStr">
        <is>
          <t>PROJECT NAME</t>
        </is>
      </c>
      <c r="B5" t="inlineStr">
        <is>
          <t>CUHSD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4376.14</v>
      </c>
      <c r="O18" s="2" t="n">
        <v>3018.85</v>
      </c>
      <c r="P18" s="2" t="n">
        <v>1496.06</v>
      </c>
      <c r="Q18" s="2" t="n">
        <v>126.55</v>
      </c>
      <c r="AE18" s="10">
        <f>SUM(C18:AD18)</f>
        <v/>
      </c>
    </row>
    <row r="19">
      <c r="B19" t="inlineStr">
        <is>
          <t>Fringe 5990</t>
        </is>
      </c>
      <c r="N19" s="2" t="n">
        <v>1878.24</v>
      </c>
      <c r="O19" s="2" t="n">
        <v>1366.93</v>
      </c>
      <c r="P19" s="2" t="n">
        <v>677.42</v>
      </c>
      <c r="Q19" s="2" t="n">
        <v>57.3</v>
      </c>
      <c r="AE19" s="10">
        <f>SUM(C19:AD19)</f>
        <v/>
      </c>
    </row>
    <row r="20">
      <c r="B20" t="inlineStr">
        <is>
          <t>Travel 5004</t>
        </is>
      </c>
      <c r="N20" s="2" t="n">
        <v>202.12</v>
      </c>
      <c r="O20" s="2" t="n">
        <v>130.55</v>
      </c>
      <c r="P20" s="2" t="n">
        <v>193.23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6000</v>
      </c>
      <c r="AE25" s="10">
        <f>SUM(C25:AD25)</f>
        <v/>
      </c>
    </row>
    <row r="26">
      <c r="B26" t="inlineStr">
        <is>
          <t>Material 5003</t>
        </is>
      </c>
      <c r="P26" s="2" t="n">
        <v>44.23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2804.64</v>
      </c>
      <c r="P28" s="2" t="n">
        <v>1472.05</v>
      </c>
      <c r="Q28" s="2" t="n">
        <v>3865.31</v>
      </c>
      <c r="AE28" s="10">
        <f>SUM(C28:AD28)</f>
        <v/>
      </c>
    </row>
    <row r="29">
      <c r="B29" t="inlineStr">
        <is>
          <t>G&amp;A 5991</t>
        </is>
      </c>
      <c r="N29" s="2" t="n">
        <v>3490.39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OGA032</t>
        </is>
      </c>
    </row>
    <row r="4">
      <c r="A4" s="1" t="inlineStr">
        <is>
          <t>ROLLUP #</t>
        </is>
      </c>
      <c r="B4" t="inlineStr">
        <is>
          <t>960040</t>
        </is>
      </c>
    </row>
    <row r="5">
      <c r="A5" s="1" t="inlineStr">
        <is>
          <t>PROJECT NAME</t>
        </is>
      </c>
      <c r="B5" t="inlineStr">
        <is>
          <t>Sunray TACFI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5398.67</v>
      </c>
      <c r="P18" s="2" t="n">
        <v>16883.43</v>
      </c>
      <c r="Q18" s="2" t="n">
        <v>2184.73</v>
      </c>
      <c r="R18" s="2" t="n">
        <v>2670.03</v>
      </c>
      <c r="S18" s="2" t="n">
        <v>477.09</v>
      </c>
      <c r="T18" s="2" t="n">
        <v>1815.45</v>
      </c>
      <c r="U18" s="2" t="n">
        <v>3389.89</v>
      </c>
      <c r="V18" s="2" t="n">
        <v>3062.36</v>
      </c>
      <c r="W18" s="2" t="n">
        <v>214.37</v>
      </c>
      <c r="AE18" s="10">
        <f>SUM(C18:AD18)</f>
        <v/>
      </c>
    </row>
    <row r="19">
      <c r="B19" t="inlineStr">
        <is>
          <t>Fringe 5990</t>
        </is>
      </c>
      <c r="O19" s="2" t="n">
        <v>2444.52</v>
      </c>
      <c r="P19" s="2" t="n">
        <v>7644.83</v>
      </c>
      <c r="Q19" s="2" t="n">
        <v>989.24</v>
      </c>
      <c r="R19" s="2" t="n">
        <v>1208.99</v>
      </c>
      <c r="S19" s="2" t="n">
        <v>216.02</v>
      </c>
      <c r="T19" s="2" t="n">
        <v>886.67</v>
      </c>
      <c r="U19" s="2" t="n">
        <v>1630.54</v>
      </c>
      <c r="V19" s="2" t="n">
        <v>1473</v>
      </c>
      <c r="W19" s="2" t="n">
        <v>107.74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54.62</v>
      </c>
      <c r="T25" s="2" t="n">
        <v>48.78</v>
      </c>
      <c r="U25" s="2" t="n">
        <v>102.72</v>
      </c>
      <c r="AE25" s="10">
        <f>SUM(C25:AD25)</f>
        <v/>
      </c>
    </row>
    <row r="26">
      <c r="B26" t="inlineStr">
        <is>
          <t>Material 5003</t>
        </is>
      </c>
      <c r="P26" s="2" t="n">
        <v>816</v>
      </c>
      <c r="Q26" s="2" t="n">
        <v>1587.74</v>
      </c>
      <c r="U26" s="2" t="n">
        <v>1226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11350.66</v>
      </c>
      <c r="P29" s="2" t="n">
        <v>36678.2</v>
      </c>
      <c r="Q29" s="2" t="n">
        <v>6970.21</v>
      </c>
      <c r="R29" s="2" t="n">
        <v>5613.71</v>
      </c>
      <c r="S29" s="2" t="n">
        <v>1003.07</v>
      </c>
      <c r="T29" s="2" t="n">
        <v>3522.04</v>
      </c>
      <c r="U29" s="2" t="n">
        <v>8342.139999999999</v>
      </c>
      <c r="V29" s="2" t="n">
        <v>5959.01</v>
      </c>
      <c r="W29" s="2" t="n">
        <v>427.73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OGA033</t>
        </is>
      </c>
    </row>
    <row r="4">
      <c r="A4" s="1" t="inlineStr">
        <is>
          <t>ROLLUP #</t>
        </is>
      </c>
      <c r="B4" t="inlineStr">
        <is>
          <t>850033</t>
        </is>
      </c>
    </row>
    <row r="5">
      <c r="A5" s="1" t="inlineStr">
        <is>
          <t>PROJECT NAME</t>
        </is>
      </c>
      <c r="B5" t="inlineStr">
        <is>
          <t>SCUSD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292.69</v>
      </c>
      <c r="O18" s="2" t="n">
        <v>4391.97</v>
      </c>
      <c r="P18" s="2" t="n">
        <v>647.6900000000001</v>
      </c>
      <c r="Q18" s="2" t="n">
        <v>2060.28</v>
      </c>
      <c r="AE18" s="10">
        <f>SUM(C18:AD18)</f>
        <v/>
      </c>
    </row>
    <row r="19">
      <c r="B19" t="inlineStr">
        <is>
          <t>Fringe 5990</t>
        </is>
      </c>
      <c r="N19" s="2" t="n">
        <v>125.62</v>
      </c>
      <c r="O19" s="2" t="n">
        <v>1988.68</v>
      </c>
      <c r="P19" s="2" t="n">
        <v>293.27</v>
      </c>
      <c r="Q19" s="2" t="n">
        <v>932.89</v>
      </c>
      <c r="AE19" s="10">
        <f>SUM(C19:AD19)</f>
        <v/>
      </c>
    </row>
    <row r="20">
      <c r="B20" t="inlineStr">
        <is>
          <t>Travel 5004</t>
        </is>
      </c>
      <c r="N20" s="2" t="n">
        <v>6.88</v>
      </c>
      <c r="O20" s="2" t="n">
        <v>146</v>
      </c>
      <c r="P20" s="2" t="n">
        <v>23.06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25.25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4053.06</v>
      </c>
      <c r="P28" s="2" t="n">
        <v>614.34</v>
      </c>
      <c r="Q28" s="2" t="n">
        <v>1858.76</v>
      </c>
      <c r="AE28" s="10">
        <f>SUM(C28:AD28)</f>
        <v/>
      </c>
    </row>
    <row r="29">
      <c r="B29" t="inlineStr">
        <is>
          <t>G&amp;A 5991</t>
        </is>
      </c>
      <c r="N29" s="2" t="n">
        <v>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OGA034</t>
        </is>
      </c>
    </row>
    <row r="4">
      <c r="A4" s="1" t="inlineStr">
        <is>
          <t>ROLLUP #</t>
        </is>
      </c>
      <c r="B4" t="inlineStr">
        <is>
          <t>850036</t>
        </is>
      </c>
    </row>
    <row r="5">
      <c r="A5" s="1" t="inlineStr">
        <is>
          <t>PROJECT NAME</t>
        </is>
      </c>
      <c r="B5" t="inlineStr">
        <is>
          <t>USD AY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491.54</v>
      </c>
      <c r="P18" s="2" t="n">
        <v>1517.45</v>
      </c>
      <c r="Q18" s="2" t="n">
        <v>793.5700000000001</v>
      </c>
      <c r="AE18" s="10">
        <f>SUM(C18:AD18)</f>
        <v/>
      </c>
    </row>
    <row r="19">
      <c r="B19" t="inlineStr">
        <is>
          <t>Fringe 5990</t>
        </is>
      </c>
      <c r="O19" s="2" t="n">
        <v>222.57</v>
      </c>
      <c r="P19" s="2" t="n">
        <v>687.1</v>
      </c>
      <c r="Q19" s="2" t="n">
        <v>359.32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443.47</v>
      </c>
      <c r="P28" s="2" t="n">
        <v>1369.02</v>
      </c>
      <c r="Q28" s="2" t="n">
        <v>715.95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OGA035</t>
        </is>
      </c>
    </row>
    <row r="4">
      <c r="A4" s="1" t="inlineStr">
        <is>
          <t>ROLLUP #</t>
        </is>
      </c>
      <c r="B4" t="inlineStr">
        <is>
          <t>850037</t>
        </is>
      </c>
    </row>
    <row r="5">
      <c r="A5" s="1" t="inlineStr">
        <is>
          <t>PROJECT NAME</t>
        </is>
      </c>
      <c r="B5" t="inlineStr">
        <is>
          <t>SJUSD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774.52</v>
      </c>
      <c r="P18" s="2" t="n">
        <v>2441.6</v>
      </c>
      <c r="Q18" s="2" t="n">
        <v>11645.45</v>
      </c>
      <c r="R18" s="2" t="n">
        <v>3805.79</v>
      </c>
      <c r="AE18" s="10">
        <f>SUM(C18:AD18)</f>
        <v/>
      </c>
    </row>
    <row r="19">
      <c r="B19" t="inlineStr">
        <is>
          <t>Fringe 5990</t>
        </is>
      </c>
      <c r="O19" s="2" t="n">
        <v>350.7</v>
      </c>
      <c r="P19" s="2" t="n">
        <v>1105.56</v>
      </c>
      <c r="Q19" s="2" t="n">
        <v>5273.07</v>
      </c>
      <c r="R19" s="2" t="n">
        <v>1723.26</v>
      </c>
      <c r="AE19" s="10">
        <f>SUM(C19:AD19)</f>
        <v/>
      </c>
    </row>
    <row r="20">
      <c r="B20" t="inlineStr">
        <is>
          <t>Travel 5004</t>
        </is>
      </c>
      <c r="P20" s="2" t="n">
        <v>50</v>
      </c>
      <c r="Q20" s="2" t="n">
        <v>116.91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199.72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698.77</v>
      </c>
      <c r="P28" s="2" t="n">
        <v>2233.83</v>
      </c>
      <c r="Q28" s="2" t="n">
        <v>10703.01</v>
      </c>
      <c r="R28" s="2" t="n">
        <v>3433.54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OGA036</t>
        </is>
      </c>
    </row>
    <row r="4">
      <c r="A4" s="1" t="inlineStr">
        <is>
          <t>ROLLUP #</t>
        </is>
      </c>
      <c r="B4" t="inlineStr">
        <is>
          <t>960045</t>
        </is>
      </c>
    </row>
    <row r="5">
      <c r="A5" s="1" t="inlineStr">
        <is>
          <t>PROJECT NAME</t>
        </is>
      </c>
      <c r="B5" t="inlineStr">
        <is>
          <t>Quasar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432.94</v>
      </c>
      <c r="T18" s="2" t="n">
        <v>47.03</v>
      </c>
      <c r="U18" s="2" t="n">
        <v>639.73</v>
      </c>
      <c r="AE18" s="10">
        <f>SUM(C18:AD18)</f>
        <v/>
      </c>
    </row>
    <row r="19">
      <c r="B19" t="inlineStr">
        <is>
          <t>Fringe 5990</t>
        </is>
      </c>
      <c r="Q19" s="2" t="n">
        <v>196.03</v>
      </c>
      <c r="T19" s="2" t="n">
        <v>22.62</v>
      </c>
      <c r="U19" s="2" t="n">
        <v>307.71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910.25</v>
      </c>
      <c r="T29" s="2" t="n">
        <v>91.52</v>
      </c>
      <c r="U29" s="2" t="n">
        <v>1244.84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OGA037</t>
        </is>
      </c>
    </row>
    <row r="4">
      <c r="A4" s="1" t="inlineStr">
        <is>
          <t>ROLLUP #</t>
        </is>
      </c>
      <c r="B4" t="inlineStr">
        <is>
          <t>730021</t>
        </is>
      </c>
    </row>
    <row r="5">
      <c r="A5" s="1" t="inlineStr">
        <is>
          <t>PROJECT NAME</t>
        </is>
      </c>
      <c r="B5" t="inlineStr">
        <is>
          <t>Organic Industrial Base Modernisation OIB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4217.67</v>
      </c>
      <c r="R18" s="2" t="n">
        <v>1648</v>
      </c>
      <c r="S18" s="2" t="n">
        <v>3097.15</v>
      </c>
      <c r="T18" s="2" t="n">
        <v>741.63</v>
      </c>
      <c r="U18" s="2" t="n">
        <v>945.9400000000001</v>
      </c>
      <c r="V18" s="2" t="n">
        <v>137.16</v>
      </c>
      <c r="W18" s="2" t="n">
        <v>486.51</v>
      </c>
      <c r="X18" s="2" t="n">
        <v>6698.29</v>
      </c>
      <c r="Y18" s="2" t="n">
        <v>895.48</v>
      </c>
      <c r="Z18" s="2" t="n">
        <v>398.96</v>
      </c>
      <c r="AA18" s="2" t="n">
        <v>1165.71</v>
      </c>
      <c r="AB18" s="2" t="n">
        <v>527.64</v>
      </c>
      <c r="AE18" s="10">
        <f>SUM(C18:AD18)</f>
        <v/>
      </c>
    </row>
    <row r="19">
      <c r="B19" t="inlineStr">
        <is>
          <t>Fringe 5990</t>
        </is>
      </c>
      <c r="Q19" s="2" t="n">
        <v>1909.77</v>
      </c>
      <c r="R19" s="2" t="n">
        <v>746.21</v>
      </c>
      <c r="S19" s="2" t="n">
        <v>1402.39</v>
      </c>
      <c r="T19" s="2" t="n">
        <v>444.06</v>
      </c>
      <c r="U19" s="2" t="n">
        <v>455</v>
      </c>
      <c r="V19" s="2" t="n">
        <v>65.97</v>
      </c>
      <c r="W19" s="2" t="n">
        <v>244.52</v>
      </c>
      <c r="X19" s="2" t="n">
        <v>3366.57</v>
      </c>
      <c r="Y19" s="2" t="n">
        <v>450.07</v>
      </c>
      <c r="Z19" s="2" t="n">
        <v>200.52</v>
      </c>
      <c r="AA19" s="2" t="n">
        <v>630.99</v>
      </c>
      <c r="AB19" s="2" t="n">
        <v>285.64</v>
      </c>
      <c r="AE19" s="10">
        <f>SUM(C19:AD19)</f>
        <v/>
      </c>
    </row>
    <row r="20">
      <c r="B20" t="inlineStr">
        <is>
          <t>Travel 5004</t>
        </is>
      </c>
      <c r="Q20" s="2" t="n">
        <v>3470.73</v>
      </c>
      <c r="S20" s="2" t="n">
        <v>1192.21</v>
      </c>
      <c r="Y20" s="2" t="n">
        <v>1605.72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13890.46</v>
      </c>
      <c r="R29" s="2" t="n">
        <v>3464.9</v>
      </c>
      <c r="S29" s="2" t="n">
        <v>8237.1</v>
      </c>
      <c r="T29" s="2" t="n">
        <v>799.17</v>
      </c>
      <c r="U29" s="2" t="n">
        <v>1840.69</v>
      </c>
      <c r="V29" s="2" t="n">
        <v>266.9</v>
      </c>
      <c r="W29" s="2" t="n">
        <v>970.74</v>
      </c>
      <c r="X29" s="2" t="n">
        <v>13365.13</v>
      </c>
      <c r="Y29" s="2" t="n">
        <v>3918.98</v>
      </c>
      <c r="Z29" s="2" t="n">
        <v>796.04</v>
      </c>
      <c r="AA29" s="2" t="n">
        <v>2448.18</v>
      </c>
      <c r="AB29" s="2" t="n">
        <v>1108.25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7701.54</v>
      </c>
      <c r="R32" s="2" t="n">
        <v>9666.299999999999</v>
      </c>
      <c r="S32" s="2" t="n">
        <v>8178.03</v>
      </c>
      <c r="AE32" s="10">
        <f>SUM(C32:AD32)</f>
        <v/>
      </c>
    </row>
    <row r="33">
      <c r="B33" t="inlineStr">
        <is>
          <t>Fringe 5990</t>
        </is>
      </c>
      <c r="Q33" s="2" t="n">
        <v>3486.85</v>
      </c>
      <c r="R33" s="2" t="n">
        <v>4376.91</v>
      </c>
      <c r="S33" s="2" t="n">
        <v>3703.02</v>
      </c>
      <c r="AE33" s="10">
        <f>SUM(C33:AD33)</f>
        <v/>
      </c>
    </row>
    <row r="34">
      <c r="B34" t="inlineStr">
        <is>
          <t>Travel 5004</t>
        </is>
      </c>
      <c r="Q34" s="2" t="n">
        <v>5890.59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24717.3</v>
      </c>
      <c r="R43" s="2" t="n">
        <v>20323.28</v>
      </c>
      <c r="S43" s="2" t="n">
        <v>16956.21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OGA038</t>
        </is>
      </c>
    </row>
    <row r="4">
      <c r="A4" s="1" t="inlineStr">
        <is>
          <t>ROLLUP #</t>
        </is>
      </c>
      <c r="B4" t="inlineStr">
        <is>
          <t>930001</t>
        </is>
      </c>
    </row>
    <row r="5">
      <c r="A5" s="1" t="inlineStr">
        <is>
          <t>PROJECT NAME</t>
        </is>
      </c>
      <c r="B5" t="inlineStr">
        <is>
          <t>Clinical Verificaiton &amp; Validation of Wearable Infrared Blood Alcohol Content Monitor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18365.54</v>
      </c>
      <c r="U18" s="2" t="n">
        <v>78810.62</v>
      </c>
      <c r="V18" s="2" t="n">
        <v>32038.94</v>
      </c>
      <c r="W18" s="2" t="n">
        <v>9364.58</v>
      </c>
      <c r="X18" s="2" t="n">
        <v>16485.32</v>
      </c>
      <c r="Y18" s="2" t="n">
        <v>-9334.17</v>
      </c>
      <c r="Z18" s="2" t="n">
        <v>-631.05</v>
      </c>
      <c r="AE18" s="10">
        <f>SUM(C18:AD18)</f>
        <v/>
      </c>
    </row>
    <row r="19">
      <c r="B19" t="inlineStr">
        <is>
          <t>Fringe 5990</t>
        </is>
      </c>
      <c r="T19" s="2" t="n">
        <v>8833.83</v>
      </c>
      <c r="U19" s="2" t="n">
        <v>37907.91</v>
      </c>
      <c r="V19" s="2" t="n">
        <v>15410.73</v>
      </c>
      <c r="W19" s="2" t="n">
        <v>4706.64</v>
      </c>
      <c r="X19" s="2" t="n">
        <v>8285.52</v>
      </c>
      <c r="Y19" s="2" t="n">
        <v>-4691.35</v>
      </c>
      <c r="Z19" s="2" t="n">
        <v>-317.16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348.08</v>
      </c>
      <c r="W25" s="2" t="n">
        <v>113.03</v>
      </c>
      <c r="X25" s="2" t="n">
        <v>21.33</v>
      </c>
      <c r="Y25" s="2" t="n">
        <v>52.36</v>
      </c>
      <c r="AE25" s="10">
        <f>SUM(C25:AD25)</f>
        <v/>
      </c>
    </row>
    <row r="26">
      <c r="B26" t="inlineStr">
        <is>
          <t>Material 5003</t>
        </is>
      </c>
      <c r="T26" s="2" t="n">
        <v>2795.16</v>
      </c>
      <c r="U26" s="2" t="n">
        <v>3746.38</v>
      </c>
      <c r="V26" s="2" t="n">
        <v>968.51</v>
      </c>
      <c r="Y26" s="2" t="n">
        <v>5.99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39409.81</v>
      </c>
      <c r="U29" s="2" t="n">
        <v>158736.18</v>
      </c>
      <c r="V29" s="2" t="n">
        <v>63616.65</v>
      </c>
      <c r="W29" s="2" t="n">
        <v>18835.27</v>
      </c>
      <c r="X29" s="2" t="n">
        <v>32921.53</v>
      </c>
      <c r="Y29" s="2" t="n">
        <v>-18547.01</v>
      </c>
      <c r="Z29" s="2" t="n">
        <v>-1259.15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OGA039</t>
        </is>
      </c>
    </row>
    <row r="4">
      <c r="A4" s="1" t="inlineStr">
        <is>
          <t>ROLLUP #</t>
        </is>
      </c>
      <c r="B4" t="inlineStr">
        <is>
          <t>730025</t>
        </is>
      </c>
    </row>
    <row r="5">
      <c r="A5" s="1" t="inlineStr">
        <is>
          <t>PROJECT NAME</t>
        </is>
      </c>
      <c r="B5" t="inlineStr">
        <is>
          <t>Soldier Authentication Rev E Rom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28705.93</v>
      </c>
      <c r="U18" s="2" t="n">
        <v>46594.88</v>
      </c>
      <c r="V18" s="2" t="n">
        <v>90875.67999999999</v>
      </c>
      <c r="W18" s="2" t="n">
        <v>54369.91</v>
      </c>
      <c r="X18" s="2" t="n">
        <v>76384.25999999999</v>
      </c>
      <c r="Y18" s="2" t="n">
        <v>43916.03</v>
      </c>
      <c r="Z18" s="2" t="n">
        <v>-110192.08</v>
      </c>
      <c r="AA18" s="2" t="n">
        <v>32926.07</v>
      </c>
      <c r="AB18" s="2" t="n">
        <v>33293.07</v>
      </c>
      <c r="AE18" s="10">
        <f>SUM(C18:AD18)</f>
        <v/>
      </c>
    </row>
    <row r="19">
      <c r="B19" t="inlineStr">
        <is>
          <t>Fringe 5990</t>
        </is>
      </c>
      <c r="T19" s="2" t="n">
        <v>13807.55</v>
      </c>
      <c r="U19" s="2" t="n">
        <v>22412.14</v>
      </c>
      <c r="V19" s="2" t="n">
        <v>43711.2</v>
      </c>
      <c r="W19" s="2" t="n">
        <v>27326.32</v>
      </c>
      <c r="X19" s="2" t="n">
        <v>38390.73</v>
      </c>
      <c r="Y19" s="2" t="n">
        <v>22072.2</v>
      </c>
      <c r="Z19" s="2" t="n">
        <v>-55382.55</v>
      </c>
      <c r="AA19" s="2" t="n">
        <v>17822.88</v>
      </c>
      <c r="AB19" s="2" t="n">
        <v>18007.15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14515.63</v>
      </c>
      <c r="AB21" s="2" t="n">
        <v>9929.23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244.09</v>
      </c>
      <c r="V25" s="2" t="n">
        <v>1024.12</v>
      </c>
      <c r="W25" s="2" t="n">
        <v>116.01</v>
      </c>
      <c r="X25" s="2" t="n">
        <v>155.45</v>
      </c>
      <c r="Y25" s="2" t="n">
        <v>436.63</v>
      </c>
      <c r="AA25" s="2" t="n">
        <v>70.52</v>
      </c>
      <c r="AE25" s="10">
        <f>SUM(C25:AD25)</f>
        <v/>
      </c>
    </row>
    <row r="26">
      <c r="B26" t="inlineStr">
        <is>
          <t>Material 5003</t>
        </is>
      </c>
      <c r="T26" s="2" t="n">
        <v>102.49</v>
      </c>
      <c r="U26" s="2" t="n">
        <v>19051.26</v>
      </c>
      <c r="V26" s="2" t="n">
        <v>6960.85</v>
      </c>
      <c r="W26" s="2" t="n">
        <v>2428.19</v>
      </c>
      <c r="X26" s="2" t="n">
        <v>2219.2</v>
      </c>
      <c r="Y26" s="2" t="n">
        <v>5104.95</v>
      </c>
      <c r="AA26" s="2" t="n">
        <v>20976.97</v>
      </c>
      <c r="AE26" s="10">
        <f>SUM(C26:AD26)</f>
        <v/>
      </c>
    </row>
    <row r="27">
      <c r="B27" t="inlineStr">
        <is>
          <t>Sub K Overhead 5992</t>
        </is>
      </c>
      <c r="AA27" s="2" t="n">
        <v>439.82</v>
      </c>
      <c r="AB27" s="2" t="n">
        <v>300.86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55993.12</v>
      </c>
      <c r="U29" s="2" t="n">
        <v>116020.47</v>
      </c>
      <c r="V29" s="2" t="n">
        <v>187325.14</v>
      </c>
      <c r="W29" s="2" t="n">
        <v>111862.86</v>
      </c>
      <c r="X29" s="2" t="n">
        <v>155563.01</v>
      </c>
      <c r="Y29" s="2" t="n">
        <v>94984.44</v>
      </c>
      <c r="Z29" s="2" t="n">
        <v>-219866.55</v>
      </c>
      <c r="AA29" s="2" t="n">
        <v>97829.83</v>
      </c>
      <c r="AB29" s="2" t="n">
        <v>69865.46000000001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33002.5</v>
      </c>
      <c r="U32" s="2" t="n">
        <v>33002.52</v>
      </c>
      <c r="V32" s="2" t="n">
        <v>33002.52</v>
      </c>
      <c r="W32" s="2" t="n">
        <v>33002.52</v>
      </c>
      <c r="X32" s="2" t="n">
        <v>33002.52</v>
      </c>
      <c r="Y32" s="2" t="n">
        <v>33002.52</v>
      </c>
      <c r="Z32" s="2" t="n">
        <v>33002.52</v>
      </c>
      <c r="AA32" s="2" t="n">
        <v>33002.52</v>
      </c>
      <c r="AB32" s="2" t="n">
        <v>33002.52</v>
      </c>
      <c r="AC32" s="2" t="n">
        <v>11000.84</v>
      </c>
      <c r="AE32" s="10">
        <f>SUM(C32:AD32)</f>
        <v/>
      </c>
    </row>
    <row r="33">
      <c r="B33" t="inlineStr">
        <is>
          <t>Fringe 5990</t>
        </is>
      </c>
      <c r="T33" s="2" t="n">
        <v>16561.2</v>
      </c>
      <c r="U33" s="2" t="n">
        <v>16561.2</v>
      </c>
      <c r="V33" s="2" t="n">
        <v>16561.2</v>
      </c>
      <c r="W33" s="2" t="n">
        <v>16561.2</v>
      </c>
      <c r="X33" s="2" t="n">
        <v>16561.2</v>
      </c>
      <c r="Y33" s="2" t="n">
        <v>16561.2</v>
      </c>
      <c r="Z33" s="2" t="n">
        <v>16561.2</v>
      </c>
      <c r="AA33" s="2" t="n">
        <v>16561.2</v>
      </c>
      <c r="AB33" s="2" t="n">
        <v>16561.2</v>
      </c>
      <c r="AC33" s="2" t="n">
        <v>5520.4</v>
      </c>
      <c r="AE33" s="10">
        <f>SUM(C33:AD33)</f>
        <v/>
      </c>
    </row>
    <row r="34">
      <c r="B34" t="inlineStr">
        <is>
          <t>Travel 5004</t>
        </is>
      </c>
      <c r="T34" s="2" t="n">
        <v>9000</v>
      </c>
      <c r="U34" s="2" t="n">
        <v>9000</v>
      </c>
      <c r="V34" s="2" t="n">
        <v>6000</v>
      </c>
      <c r="AE34" s="10">
        <f>SUM(C34:AD34)</f>
        <v/>
      </c>
    </row>
    <row r="35">
      <c r="B35" t="inlineStr">
        <is>
          <t>Subcontracting 5005</t>
        </is>
      </c>
      <c r="T35" s="2" t="n">
        <v>18000</v>
      </c>
      <c r="U35" s="2" t="n">
        <v>18000</v>
      </c>
      <c r="V35" s="2" t="n">
        <v>18000</v>
      </c>
      <c r="W35" s="2" t="n">
        <v>6000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T40" s="2" t="n">
        <v>75150</v>
      </c>
      <c r="U40" s="2" t="n">
        <v>75150</v>
      </c>
      <c r="AE40" s="10">
        <f>SUM(C40:AD40)</f>
        <v/>
      </c>
    </row>
    <row r="41">
      <c r="B41" t="inlineStr">
        <is>
          <t>Sub K Overhead 5992</t>
        </is>
      </c>
      <c r="T41" s="2" t="n">
        <v>545.4</v>
      </c>
      <c r="U41" s="2" t="n">
        <v>545.4</v>
      </c>
      <c r="V41" s="2" t="n">
        <v>545.4</v>
      </c>
      <c r="W41" s="2" t="n">
        <v>181.8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90723.78</v>
      </c>
      <c r="U43" s="2" t="n">
        <v>90723.78</v>
      </c>
      <c r="V43" s="2" t="n">
        <v>90723.78</v>
      </c>
      <c r="W43" s="2" t="n">
        <v>90723.78</v>
      </c>
      <c r="X43" s="2" t="n">
        <v>90723.78</v>
      </c>
      <c r="Y43" s="2" t="n">
        <v>90723.78</v>
      </c>
      <c r="Z43" s="2" t="n">
        <v>90723.78</v>
      </c>
      <c r="AA43" s="2" t="n">
        <v>90723.78</v>
      </c>
      <c r="AB43" s="2" t="n">
        <v>90723.78</v>
      </c>
      <c r="AC43" s="2" t="n">
        <v>30241.26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OGA040</t>
        </is>
      </c>
    </row>
    <row r="4">
      <c r="A4" s="1" t="inlineStr">
        <is>
          <t>ROLLUP #</t>
        </is>
      </c>
      <c r="B4" t="inlineStr">
        <is>
          <t>930003</t>
        </is>
      </c>
    </row>
    <row r="5">
      <c r="A5" s="1" t="inlineStr">
        <is>
          <t>PROJECT NAME</t>
        </is>
      </c>
      <c r="B5" t="inlineStr">
        <is>
          <t>Crew Care Helmet Health System DHHS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188.1</v>
      </c>
      <c r="V18" s="2" t="n">
        <v>3800.76</v>
      </c>
      <c r="AE18" s="10">
        <f>SUM(C18:AD18)</f>
        <v/>
      </c>
    </row>
    <row r="19">
      <c r="B19" t="inlineStr">
        <is>
          <t>Fringe 5990</t>
        </is>
      </c>
      <c r="U19" s="2" t="n">
        <v>90.48</v>
      </c>
      <c r="V19" s="2" t="n">
        <v>1828.17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366.02</v>
      </c>
      <c r="V29" s="2" t="n">
        <v>7395.84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OGA041</t>
        </is>
      </c>
    </row>
    <row r="4">
      <c r="A4" s="1" t="inlineStr">
        <is>
          <t>ROLLUP #</t>
        </is>
      </c>
      <c r="B4" t="inlineStr">
        <is>
          <t>930002</t>
        </is>
      </c>
    </row>
    <row r="5">
      <c r="A5" s="1" t="inlineStr">
        <is>
          <t>PROJECT NAME</t>
        </is>
      </c>
      <c r="B5" t="inlineStr">
        <is>
          <t>E Textile Enabled Active Monitoring System E TEAMS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897.75</v>
      </c>
      <c r="V18" s="2" t="n">
        <v>18922.82</v>
      </c>
      <c r="W18" s="2" t="n">
        <v>19448.23</v>
      </c>
      <c r="X18" s="2" t="n">
        <v>42500.55</v>
      </c>
      <c r="Y18" s="2" t="n">
        <v>-61948.78</v>
      </c>
      <c r="AE18" s="10">
        <f>SUM(C18:AD18)</f>
        <v/>
      </c>
    </row>
    <row r="19">
      <c r="B19" t="inlineStr">
        <is>
          <t>Fringe 5990</t>
        </is>
      </c>
      <c r="U19" s="2" t="n">
        <v>431.82</v>
      </c>
      <c r="V19" s="2" t="n">
        <v>9101.879999999999</v>
      </c>
      <c r="W19" s="2" t="n">
        <v>9774.68</v>
      </c>
      <c r="X19" s="2" t="n">
        <v>21360.78</v>
      </c>
      <c r="Y19" s="2" t="n">
        <v>-31135.45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101.97</v>
      </c>
      <c r="Y25" s="2" t="n">
        <v>-101.97</v>
      </c>
      <c r="AE25" s="10">
        <f>SUM(C25:AD25)</f>
        <v/>
      </c>
    </row>
    <row r="26">
      <c r="B26" t="inlineStr">
        <is>
          <t>Material 5003</t>
        </is>
      </c>
      <c r="V26" s="2" t="n">
        <v>14829.21</v>
      </c>
      <c r="W26" s="2" t="n">
        <v>1562.95</v>
      </c>
      <c r="X26" s="2" t="n">
        <v>48.02</v>
      </c>
      <c r="Y26" s="2" t="n">
        <v>-1610.97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1746.92</v>
      </c>
      <c r="V29" s="2" t="n">
        <v>56305.75</v>
      </c>
      <c r="W29" s="2" t="n">
        <v>40880.54</v>
      </c>
      <c r="X29" s="2" t="n">
        <v>85000.64</v>
      </c>
      <c r="Y29" s="2" t="n">
        <v>-125881.17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OGA042</t>
        </is>
      </c>
    </row>
    <row r="4">
      <c r="A4" s="1" t="inlineStr">
        <is>
          <t>ROLLUP #</t>
        </is>
      </c>
      <c r="B4" t="inlineStr">
        <is>
          <t>930004</t>
        </is>
      </c>
    </row>
    <row r="5">
      <c r="A5" s="1" t="inlineStr">
        <is>
          <t>PROJECT NAME</t>
        </is>
      </c>
      <c r="B5" t="inlineStr">
        <is>
          <t>Remote Frostbite Detector RFD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4815.55</v>
      </c>
      <c r="W18" s="2" t="n">
        <v>30995.95</v>
      </c>
      <c r="X18" s="2" t="n">
        <v>34498.13</v>
      </c>
      <c r="Y18" s="2" t="n">
        <v>22527.59</v>
      </c>
      <c r="Z18" s="2" t="n">
        <v>-6959.37</v>
      </c>
      <c r="AE18" s="10">
        <f>SUM(C18:AD18)</f>
        <v/>
      </c>
    </row>
    <row r="19">
      <c r="B19" t="inlineStr">
        <is>
          <t>Fringe 5990</t>
        </is>
      </c>
      <c r="V19" s="2" t="n">
        <v>2316.28</v>
      </c>
      <c r="W19" s="2" t="n">
        <v>15578.56</v>
      </c>
      <c r="X19" s="2" t="n">
        <v>17338.77</v>
      </c>
      <c r="Y19" s="2" t="n">
        <v>11322.36</v>
      </c>
      <c r="Z19" s="2" t="n">
        <v>-3497.78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746.05</v>
      </c>
      <c r="X25" s="2" t="n">
        <v>98</v>
      </c>
      <c r="Y25" s="2" t="n">
        <v>111.33</v>
      </c>
      <c r="Z25" s="2" t="n">
        <v>43.28</v>
      </c>
      <c r="AE25" s="10">
        <f>SUM(C25:AD25)</f>
        <v/>
      </c>
    </row>
    <row r="26">
      <c r="B26" t="inlineStr">
        <is>
          <t>Material 5003</t>
        </is>
      </c>
      <c r="V26" s="2" t="n">
        <v>79.66</v>
      </c>
      <c r="W26" s="2" t="n">
        <v>2766.02</v>
      </c>
      <c r="X26" s="2" t="n">
        <v>2510.51</v>
      </c>
      <c r="Z26" s="2" t="n">
        <v>640.25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9475.18</v>
      </c>
      <c r="W29" s="2" t="n">
        <v>66509.96000000001</v>
      </c>
      <c r="X29" s="2" t="n">
        <v>72298.06</v>
      </c>
      <c r="Y29" s="2" t="n">
        <v>45097.18</v>
      </c>
      <c r="Z29" s="2" t="n">
        <v>-12978.39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OGA043</t>
        </is>
      </c>
    </row>
    <row r="4">
      <c r="A4" s="1" t="inlineStr">
        <is>
          <t>ROLLUP #</t>
        </is>
      </c>
      <c r="B4" t="inlineStr">
        <is>
          <t>735011</t>
        </is>
      </c>
    </row>
    <row r="5">
      <c r="A5" s="1" t="inlineStr">
        <is>
          <t>PROJECT NAME</t>
        </is>
      </c>
      <c r="B5" t="inlineStr">
        <is>
          <t>Upscaling MII Solutions: Advanced Manufacturing Competency Framework Creation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1961.15</v>
      </c>
      <c r="Y18" s="2" t="n">
        <v>8810.67</v>
      </c>
      <c r="Z18" s="2" t="n">
        <v>4236.46</v>
      </c>
      <c r="AA18" s="2" t="n">
        <v>17398.16</v>
      </c>
      <c r="AE18" s="10">
        <f>SUM(C18:AD18)</f>
        <v/>
      </c>
    </row>
    <row r="19">
      <c r="B19" t="inlineStr">
        <is>
          <t>Fringe 5990</t>
        </is>
      </c>
      <c r="X19" s="2" t="n">
        <v>985.6799999999999</v>
      </c>
      <c r="Y19" s="2" t="n">
        <v>4428.24</v>
      </c>
      <c r="Z19" s="2" t="n">
        <v>2129.24</v>
      </c>
      <c r="AA19" s="2" t="n">
        <v>9417.620000000001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A22" s="2" t="n">
        <v>4213.62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2900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1851.2</v>
      </c>
      <c r="Y29" s="2" t="n">
        <v>8316.690000000001</v>
      </c>
      <c r="Z29" s="2" t="n">
        <v>3998.93</v>
      </c>
      <c r="AA29" s="2" t="n">
        <v>29352.33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OGA044</t>
        </is>
      </c>
    </row>
    <row r="4">
      <c r="A4" s="1" t="inlineStr">
        <is>
          <t>ROLLUP #</t>
        </is>
      </c>
      <c r="B4" t="inlineStr">
        <is>
          <t>735012</t>
        </is>
      </c>
    </row>
    <row r="5">
      <c r="A5" s="1" t="inlineStr">
        <is>
          <t>PROJECT NAME</t>
        </is>
      </c>
      <c r="B5" t="inlineStr">
        <is>
          <t>MFG USA Career Pathway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355.95</v>
      </c>
      <c r="AA18" s="2" t="n">
        <v>50.85</v>
      </c>
      <c r="AE18" s="10">
        <f>SUM(C18:AD18)</f>
        <v/>
      </c>
    </row>
    <row r="19">
      <c r="B19" t="inlineStr">
        <is>
          <t>Fringe 5990</t>
        </is>
      </c>
      <c r="Z19" s="2" t="n">
        <v>178.9</v>
      </c>
      <c r="AA19" s="2" t="n">
        <v>25.56</v>
      </c>
      <c r="AB19" s="2" t="n">
        <v>1.97</v>
      </c>
      <c r="AE19" s="10">
        <f>SUM(C19:AD19)</f>
        <v/>
      </c>
    </row>
    <row r="20">
      <c r="B20" t="inlineStr">
        <is>
          <t>Travel 5004</t>
        </is>
      </c>
      <c r="Y20" s="2" t="n">
        <v>373.08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541.8</v>
      </c>
      <c r="Z25" s="2" t="n">
        <v>119.99</v>
      </c>
      <c r="AA25" s="2" t="n">
        <v>1250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574.73</v>
      </c>
      <c r="Z29" s="2" t="n">
        <v>411.37</v>
      </c>
      <c r="AA29" s="2" t="n">
        <v>833.25</v>
      </c>
      <c r="AB29" s="2" t="n">
        <v>122.09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OGA045</t>
        </is>
      </c>
    </row>
    <row r="4">
      <c r="A4" s="1" t="inlineStr">
        <is>
          <t>ROLLUP #</t>
        </is>
      </c>
      <c r="B4" t="inlineStr">
        <is>
          <t>730028</t>
        </is>
      </c>
    </row>
    <row r="5">
      <c r="A5" s="1" t="inlineStr">
        <is>
          <t>PROJECT NAME</t>
        </is>
      </c>
      <c r="B5" t="inlineStr">
        <is>
          <t>Los Alamos National Lab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8000.84</v>
      </c>
      <c r="AE18" s="10">
        <f>SUM(C18:AD18)</f>
        <v/>
      </c>
    </row>
    <row r="19">
      <c r="B19" t="inlineStr">
        <is>
          <t>Fringe 5990</t>
        </is>
      </c>
      <c r="Z19" s="2" t="n">
        <v>4021.22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98.17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16094.45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2536</v>
      </c>
      <c r="AE32" s="10">
        <f>SUM(C32:AD32)</f>
        <v/>
      </c>
    </row>
    <row r="33">
      <c r="B33" t="inlineStr">
        <is>
          <t>Fringe 5990</t>
        </is>
      </c>
      <c r="Z33" s="2" t="n">
        <v>1275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5061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OGA046</t>
        </is>
      </c>
    </row>
    <row r="4">
      <c r="A4" s="1" t="inlineStr">
        <is>
          <t>ROLLUP #</t>
        </is>
      </c>
      <c r="B4" t="inlineStr">
        <is>
          <t>730029</t>
        </is>
      </c>
    </row>
    <row r="5">
      <c r="A5" s="1" t="inlineStr">
        <is>
          <t>PROJECT NAME</t>
        </is>
      </c>
      <c r="B5" t="inlineStr">
        <is>
          <t>NASA Ink Adhesion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1792</v>
      </c>
      <c r="AE18" s="10">
        <f>SUM(C18:AD18)</f>
        <v/>
      </c>
    </row>
    <row r="19">
      <c r="B19" t="inlineStr">
        <is>
          <t>Fringe 5990</t>
        </is>
      </c>
      <c r="AA19" s="2" t="n">
        <v>970.01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3763.52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A32" s="2" t="n">
        <v>1902</v>
      </c>
      <c r="AE32" s="10">
        <f>SUM(C32:AD32)</f>
        <v/>
      </c>
    </row>
    <row r="33">
      <c r="B33" t="inlineStr">
        <is>
          <t>Fringe 5990</t>
        </is>
      </c>
      <c r="AA33" s="2" t="n">
        <v>956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A43" s="2" t="n">
        <v>3793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OGA047</t>
        </is>
      </c>
    </row>
    <row r="4">
      <c r="A4" s="1" t="inlineStr">
        <is>
          <t>ROLLUP #</t>
        </is>
      </c>
      <c r="B4" t="inlineStr">
        <is>
          <t>730030</t>
        </is>
      </c>
    </row>
    <row r="5">
      <c r="A5" s="1" t="inlineStr">
        <is>
          <t>PROJECT NAME</t>
        </is>
      </c>
      <c r="B5" t="inlineStr">
        <is>
          <t>NASA Printed Circuit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B18" s="2" t="n">
        <v>597.33</v>
      </c>
      <c r="AE18" s="10">
        <f>SUM(C18:AD18)</f>
        <v/>
      </c>
    </row>
    <row r="19">
      <c r="B19" t="inlineStr">
        <is>
          <t>Fringe 5990</t>
        </is>
      </c>
      <c r="AB19" s="2" t="n">
        <v>323.32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B29" s="2" t="n">
        <v>1254.44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2072</v>
      </c>
      <c r="AE32" s="10">
        <f>SUM(C32:AD32)</f>
        <v/>
      </c>
    </row>
    <row r="33">
      <c r="B33" t="inlineStr">
        <is>
          <t>Fringe 5990</t>
        </is>
      </c>
      <c r="AB33" s="2" t="n">
        <v>1122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4352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2026-04-28T08:56:59Z</dcterms:created>
  <dcterms:modified xsi:type="dcterms:W3CDTF">2026-04-28T16:34:25Z</dcterms:modified>
</cp:coreProperties>
</file>